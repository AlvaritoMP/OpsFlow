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aloperu1.sharepoint.com/sites/VALORIZACIONES/Documentos compartidos/VALORIZACIONES 2026/ONCAP/ESTACIÓN ARGENTINA/"/>
    </mc:Choice>
  </mc:AlternateContent>
  <xr:revisionPtr revIDLastSave="25" documentId="8_{3069FA43-C008-475E-A7EF-0F047A127E5C}" xr6:coauthVersionLast="47" xr6:coauthVersionMax="47" xr10:uidLastSave="{2FA6CF9C-C8F1-4C3D-B1D9-3EFA50C4F7FF}"/>
  <bookViews>
    <workbookView xWindow="-120" yWindow="-120" windowWidth="20730" windowHeight="11160" firstSheet="3" activeTab="3" xr2:uid="{3D8BFEFE-207C-48D0-81BB-D9F0D814D0A5}"/>
  </bookViews>
  <sheets>
    <sheet name="ec CATU" sheetId="2" state="hidden" r:id="rId1"/>
    <sheet name="ec ABTAO" sheetId="3" state="hidden" r:id="rId2"/>
    <sheet name="ec ICHMA" sheetId="4" state="hidden" r:id="rId3"/>
    <sheet name="ABRIL" sheetId="5" r:id="rId4"/>
    <sheet name="Hoja1" sheetId="6" r:id="rId5"/>
  </sheets>
  <externalReferences>
    <externalReference r:id="rId6"/>
    <externalReference r:id="rId7"/>
    <externalReference r:id="rId8"/>
  </externalReferences>
  <definedNames>
    <definedName name="_xlnm.Print_Area" localSheetId="3">ABRIL!$A$1:$AD$55</definedName>
    <definedName name="_xlnm.Print_Area" localSheetId="1">'ec ABTAO'!$A$1:$AC$43</definedName>
    <definedName name="_xlnm.Print_Area" localSheetId="0">'ec CATU'!$A$1:$AB$41</definedName>
    <definedName name="_xlnm.Print_Area" localSheetId="2">'ec ICHMA'!$A$1:$AB$44</definedName>
    <definedName name="_xlnm.Print_Area" localSheetId="4">Hoja1!$A$1:$H$27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5" l="1"/>
  <c r="P28" i="5" s="1"/>
  <c r="L21" i="5"/>
  <c r="L19" i="5"/>
  <c r="L15" i="5"/>
  <c r="L16" i="5"/>
  <c r="G27" i="5"/>
  <c r="P27" i="5" s="1"/>
  <c r="G29" i="5"/>
  <c r="P29" i="5" s="1"/>
  <c r="G26" i="5"/>
  <c r="P26" i="5" s="1"/>
  <c r="G25" i="5"/>
  <c r="M25" i="5" s="1"/>
  <c r="M28" i="5" l="1"/>
  <c r="M27" i="5"/>
  <c r="M29" i="5"/>
  <c r="T29" i="5" s="1"/>
  <c r="P25" i="5"/>
  <c r="T25" i="5"/>
  <c r="S25" i="5"/>
  <c r="M26" i="5"/>
  <c r="T28" i="5" l="1"/>
  <c r="S28" i="5"/>
  <c r="S27" i="5"/>
  <c r="T27" i="5"/>
  <c r="S29" i="5"/>
  <c r="V29" i="5" s="1"/>
  <c r="V25" i="5"/>
  <c r="T26" i="5"/>
  <c r="S26" i="5"/>
  <c r="V28" i="5" l="1"/>
  <c r="V27" i="5"/>
  <c r="V26" i="5"/>
  <c r="G24" i="5" l="1"/>
  <c r="P24" i="5" s="1"/>
  <c r="J30" i="5"/>
  <c r="K30" i="5"/>
  <c r="N30" i="5"/>
  <c r="O30" i="5"/>
  <c r="I30" i="5"/>
  <c r="G23" i="5"/>
  <c r="P23" i="5" s="1"/>
  <c r="G22" i="5"/>
  <c r="P22" i="5" s="1"/>
  <c r="G16" i="5"/>
  <c r="G21" i="5"/>
  <c r="G20" i="5"/>
  <c r="P20" i="5" s="1"/>
  <c r="G19" i="5"/>
  <c r="L12" i="5"/>
  <c r="P12" i="5" s="1"/>
  <c r="U30" i="5" l="1"/>
  <c r="M24" i="5"/>
  <c r="M23" i="5"/>
  <c r="M22" i="5"/>
  <c r="M19" i="5"/>
  <c r="S19" i="5" s="1"/>
  <c r="M16" i="5"/>
  <c r="T16" i="5" s="1"/>
  <c r="P16" i="5"/>
  <c r="P21" i="5"/>
  <c r="M21" i="5"/>
  <c r="M20" i="5"/>
  <c r="P19" i="5"/>
  <c r="M12" i="5"/>
  <c r="G18" i="5"/>
  <c r="G17" i="5"/>
  <c r="S24" i="5" l="1"/>
  <c r="T24" i="5"/>
  <c r="S23" i="5"/>
  <c r="T23" i="5"/>
  <c r="T19" i="5"/>
  <c r="T22" i="5"/>
  <c r="S22" i="5"/>
  <c r="S16" i="5"/>
  <c r="V16" i="5" s="1"/>
  <c r="S21" i="5"/>
  <c r="T21" i="5"/>
  <c r="T20" i="5"/>
  <c r="S20" i="5"/>
  <c r="V19" i="5"/>
  <c r="T12" i="5"/>
  <c r="S12" i="5"/>
  <c r="P18" i="5"/>
  <c r="M18" i="5"/>
  <c r="S18" i="5" s="1"/>
  <c r="P17" i="5"/>
  <c r="M17" i="5"/>
  <c r="L11" i="5"/>
  <c r="L30" i="5" s="1"/>
  <c r="V24" i="5" l="1"/>
  <c r="V23" i="5"/>
  <c r="V22" i="5"/>
  <c r="V21" i="5"/>
  <c r="V20" i="5"/>
  <c r="T18" i="5"/>
  <c r="V12" i="5"/>
  <c r="P11" i="5"/>
  <c r="V18" i="5"/>
  <c r="S17" i="5"/>
  <c r="T17" i="5"/>
  <c r="M11" i="5"/>
  <c r="T11" i="5" l="1"/>
  <c r="V17" i="5"/>
  <c r="S11" i="5"/>
  <c r="H25" i="6"/>
  <c r="G24" i="6"/>
  <c r="H24" i="6"/>
  <c r="F24" i="6"/>
  <c r="G15" i="5"/>
  <c r="G14" i="5"/>
  <c r="G13" i="5"/>
  <c r="G30" i="5" l="1"/>
  <c r="P15" i="5"/>
  <c r="P14" i="5"/>
  <c r="P13" i="5"/>
  <c r="V11" i="5"/>
  <c r="M15" i="5"/>
  <c r="M14" i="5" l="1"/>
  <c r="S14" i="5" s="1"/>
  <c r="S15" i="5"/>
  <c r="T15" i="5"/>
  <c r="T14" i="5" l="1"/>
  <c r="V14" i="5"/>
  <c r="V15" i="5"/>
  <c r="P30" i="5" l="1"/>
  <c r="U9" i="5"/>
  <c r="M13" i="5" l="1"/>
  <c r="M30" i="5" s="1"/>
  <c r="S13" i="5" l="1"/>
  <c r="T13" i="5"/>
  <c r="T30" i="5" l="1"/>
  <c r="S30" i="5"/>
  <c r="V13" i="5"/>
  <c r="V30" i="5" s="1"/>
  <c r="G39" i="5"/>
  <c r="AB13" i="3" l="1"/>
  <c r="X13" i="3"/>
  <c r="Q13" i="3"/>
  <c r="R13" i="3"/>
  <c r="S13" i="3"/>
  <c r="T13" i="3"/>
  <c r="U13" i="3"/>
  <c r="V13" i="3"/>
  <c r="P13" i="3"/>
  <c r="J13" i="3"/>
  <c r="K13" i="3"/>
  <c r="L13" i="3"/>
  <c r="M13" i="3"/>
  <c r="N13" i="3"/>
  <c r="O13" i="3"/>
  <c r="I13" i="3"/>
  <c r="G13" i="3"/>
  <c r="Q12" i="3"/>
  <c r="G12" i="3"/>
  <c r="L12" i="3" s="1"/>
  <c r="K12" i="3"/>
  <c r="N12" i="3" s="1"/>
  <c r="G35" i="5"/>
  <c r="X9" i="5"/>
  <c r="X28" i="5" s="1"/>
  <c r="R9" i="5"/>
  <c r="R28" i="5" s="1"/>
  <c r="W28" i="5" s="1"/>
  <c r="Z28" i="5" s="1"/>
  <c r="AD28" i="5" s="1"/>
  <c r="L9" i="5"/>
  <c r="C35" i="4"/>
  <c r="G32" i="4"/>
  <c r="G25" i="4"/>
  <c r="G24" i="4"/>
  <c r="G23" i="4"/>
  <c r="G19" i="4"/>
  <c r="V14" i="4"/>
  <c r="U14" i="4"/>
  <c r="S14" i="4"/>
  <c r="M14" i="4"/>
  <c r="J14" i="4"/>
  <c r="I14" i="4"/>
  <c r="H14" i="4"/>
  <c r="G14" i="4"/>
  <c r="M13" i="4"/>
  <c r="N13" i="4" s="1"/>
  <c r="K13" i="4"/>
  <c r="L13" i="4" s="1"/>
  <c r="N12" i="4"/>
  <c r="L12" i="4"/>
  <c r="Q12" i="4" s="1"/>
  <c r="K12" i="4"/>
  <c r="N11" i="4"/>
  <c r="L11" i="4"/>
  <c r="K11" i="4"/>
  <c r="K14" i="4" s="1"/>
  <c r="V9" i="4"/>
  <c r="P9" i="4"/>
  <c r="P11" i="4" s="1"/>
  <c r="K9" i="4"/>
  <c r="R27" i="5" l="1"/>
  <c r="X27" i="5"/>
  <c r="W27" i="5"/>
  <c r="R29" i="5"/>
  <c r="X29" i="5"/>
  <c r="R25" i="5"/>
  <c r="R26" i="5"/>
  <c r="X25" i="5"/>
  <c r="X26" i="5"/>
  <c r="R24" i="5"/>
  <c r="X24" i="5"/>
  <c r="R23" i="5"/>
  <c r="X23" i="5"/>
  <c r="R22" i="5"/>
  <c r="W22" i="5" s="1"/>
  <c r="X22" i="5"/>
  <c r="R16" i="5"/>
  <c r="X16" i="5"/>
  <c r="X21" i="5"/>
  <c r="R21" i="5"/>
  <c r="X20" i="5"/>
  <c r="R20" i="5"/>
  <c r="R19" i="5"/>
  <c r="X19" i="5"/>
  <c r="X12" i="5"/>
  <c r="R12" i="5"/>
  <c r="X18" i="5"/>
  <c r="R18" i="5"/>
  <c r="X17" i="5"/>
  <c r="R17" i="5"/>
  <c r="X11" i="5"/>
  <c r="R15" i="5"/>
  <c r="R11" i="5"/>
  <c r="X15" i="5"/>
  <c r="X14" i="5"/>
  <c r="X13" i="5"/>
  <c r="R14" i="5"/>
  <c r="R13" i="5"/>
  <c r="W13" i="5" s="1"/>
  <c r="G26" i="4"/>
  <c r="R12" i="3"/>
  <c r="P12" i="3"/>
  <c r="T12" i="3" s="1"/>
  <c r="R13" i="4"/>
  <c r="Q13" i="4"/>
  <c r="T13" i="4" s="1"/>
  <c r="X13" i="4" s="1"/>
  <c r="AB13" i="4" s="1"/>
  <c r="P13" i="4"/>
  <c r="T11" i="4"/>
  <c r="L14" i="4"/>
  <c r="N14" i="4"/>
  <c r="R12" i="4"/>
  <c r="Q11" i="4"/>
  <c r="P12" i="4"/>
  <c r="P14" i="4" s="1"/>
  <c r="R11" i="4"/>
  <c r="R14" i="4" s="1"/>
  <c r="Z27" i="5" l="1"/>
  <c r="AD27" i="5" s="1"/>
  <c r="W29" i="5"/>
  <c r="Z29" i="5" s="1"/>
  <c r="AD29" i="5" s="1"/>
  <c r="W26" i="5"/>
  <c r="Z26" i="5" s="1"/>
  <c r="AD26" i="5" s="1"/>
  <c r="W25" i="5"/>
  <c r="Z25" i="5" s="1"/>
  <c r="AD25" i="5" s="1"/>
  <c r="W24" i="5"/>
  <c r="Z24" i="5" s="1"/>
  <c r="AD24" i="5" s="1"/>
  <c r="X30" i="5"/>
  <c r="W21" i="5"/>
  <c r="Z21" i="5" s="1"/>
  <c r="R30" i="5"/>
  <c r="W23" i="5"/>
  <c r="Z23" i="5" s="1"/>
  <c r="AD23" i="5" s="1"/>
  <c r="Z22" i="5"/>
  <c r="AD22" i="5" s="1"/>
  <c r="W16" i="5"/>
  <c r="Z16" i="5" s="1"/>
  <c r="AD16" i="5" s="1"/>
  <c r="W20" i="5"/>
  <c r="Z20" i="5" s="1"/>
  <c r="AD20" i="5" s="1"/>
  <c r="W19" i="5"/>
  <c r="Z19" i="5" s="1"/>
  <c r="AD19" i="5" s="1"/>
  <c r="W15" i="5"/>
  <c r="Z15" i="5" s="1"/>
  <c r="AD15" i="5" s="1"/>
  <c r="W12" i="5"/>
  <c r="Z12" i="5" s="1"/>
  <c r="AD12" i="5" s="1"/>
  <c r="W18" i="5"/>
  <c r="Z18" i="5" s="1"/>
  <c r="AD18" i="5" s="1"/>
  <c r="W17" i="5"/>
  <c r="Z17" i="5" s="1"/>
  <c r="AD17" i="5" s="1"/>
  <c r="W11" i="5"/>
  <c r="W14" i="5"/>
  <c r="Z13" i="5"/>
  <c r="X12" i="3"/>
  <c r="AB12" i="3" s="1"/>
  <c r="T12" i="4"/>
  <c r="T14" i="4"/>
  <c r="Q14" i="4"/>
  <c r="X12" i="4"/>
  <c r="AB12" i="4" s="1"/>
  <c r="X11" i="4"/>
  <c r="W30" i="5" l="1"/>
  <c r="AD21" i="5"/>
  <c r="AD13" i="5"/>
  <c r="Z11" i="5"/>
  <c r="Z14" i="5"/>
  <c r="AD14" i="5" s="1"/>
  <c r="AB11" i="4"/>
  <c r="AB14" i="4" s="1"/>
  <c r="X14" i="4"/>
  <c r="Z30" i="5" l="1"/>
  <c r="AD11" i="5"/>
  <c r="AD30" i="5" s="1"/>
  <c r="G31" i="4"/>
  <c r="G33" i="4" s="1"/>
  <c r="G35" i="4" s="1"/>
  <c r="G44" i="5" l="1"/>
  <c r="G37" i="4"/>
  <c r="I35" i="4" s="1"/>
  <c r="G46" i="5" l="1"/>
  <c r="G50" i="5" s="1"/>
  <c r="I33" i="4"/>
  <c r="C33" i="3" l="1"/>
  <c r="G29" i="3"/>
  <c r="G23" i="3"/>
  <c r="G22" i="3"/>
  <c r="G18" i="3"/>
  <c r="K11" i="3"/>
  <c r="N11" i="3" s="1"/>
  <c r="V9" i="3"/>
  <c r="P9" i="3"/>
  <c r="K9" i="3"/>
  <c r="J44" i="5" l="1"/>
  <c r="G24" i="3"/>
  <c r="L11" i="3"/>
  <c r="J46" i="5" l="1"/>
  <c r="R11" i="3"/>
  <c r="Q11" i="3"/>
  <c r="P11" i="3"/>
  <c r="T11" i="3" l="1"/>
  <c r="X11" i="3" l="1"/>
  <c r="AB11" i="3" l="1"/>
  <c r="G28" i="3" l="1"/>
  <c r="G30" i="3" s="1"/>
  <c r="G33" i="3" l="1"/>
  <c r="G35" i="3" s="1"/>
  <c r="C32" i="2" l="1"/>
  <c r="G29" i="2"/>
  <c r="G22" i="2"/>
  <c r="G21" i="2"/>
  <c r="G23" i="2" s="1"/>
  <c r="G17" i="2"/>
  <c r="V12" i="2"/>
  <c r="U12" i="2"/>
  <c r="S12" i="2"/>
  <c r="M12" i="2"/>
  <c r="J12" i="2"/>
  <c r="I12" i="2"/>
  <c r="G12" i="2"/>
  <c r="K11" i="2"/>
  <c r="N11" i="2" s="1"/>
  <c r="V9" i="2"/>
  <c r="P9" i="2"/>
  <c r="K9" i="2"/>
  <c r="N12" i="2" l="1"/>
  <c r="K12" i="2"/>
  <c r="L11" i="2"/>
  <c r="L12" i="2" l="1"/>
  <c r="R11" i="2"/>
  <c r="R12" i="2" s="1"/>
  <c r="Q11" i="2"/>
  <c r="Q12" i="2" s="1"/>
  <c r="P11" i="2"/>
  <c r="P12" i="2" l="1"/>
  <c r="T11" i="2"/>
  <c r="T12" i="2" s="1"/>
  <c r="X11" i="2" l="1"/>
  <c r="AB11" i="2" l="1"/>
  <c r="AB12" i="2" s="1"/>
  <c r="X12" i="2"/>
  <c r="G28" i="2" l="1"/>
  <c r="G30" i="2" s="1"/>
  <c r="G32" i="2" l="1"/>
  <c r="G34" i="2" s="1"/>
</calcChain>
</file>

<file path=xl/sharedStrings.xml><?xml version="1.0" encoding="utf-8"?>
<sst xmlns="http://schemas.openxmlformats.org/spreadsheetml/2006/main" count="341" uniqueCount="134">
  <si>
    <t xml:space="preserve">JUNTA DE PROPIETARIOS EDIFICIO CATU 
</t>
  </si>
  <si>
    <t>En Nuevos Soles (S/.). Costo laboral no inlcuye costos por Alimentación ni Horas Extras probables.</t>
  </si>
  <si>
    <t>Servicio de Intermediación Laboral - Servicio de Limpieza /  Edificio Catu</t>
  </si>
  <si>
    <t>I.</t>
  </si>
  <si>
    <t xml:space="preserve">Costo de Personal </t>
  </si>
  <si>
    <t>Estructura de Sueldo</t>
  </si>
  <si>
    <t>Cargas Sociales</t>
  </si>
  <si>
    <t>PUESTO</t>
  </si>
  <si>
    <t>INTERMEDIACIÓN</t>
  </si>
  <si>
    <t>LOCACIÓN</t>
  </si>
  <si>
    <t>Rem Basica</t>
  </si>
  <si>
    <t>Asig Fam</t>
  </si>
  <si>
    <t>HE 25%</t>
  </si>
  <si>
    <t>HE 35%</t>
  </si>
  <si>
    <t>Bono noct</t>
  </si>
  <si>
    <t>Rem LLSS</t>
  </si>
  <si>
    <t>Cond Trabajo</t>
  </si>
  <si>
    <t>Rem Total</t>
  </si>
  <si>
    <t>Vaca</t>
  </si>
  <si>
    <t>Grati</t>
  </si>
  <si>
    <t>CTS</t>
  </si>
  <si>
    <t>Feria</t>
  </si>
  <si>
    <t>Essalud</t>
  </si>
  <si>
    <t>Vida Ley</t>
  </si>
  <si>
    <t>SCTR</t>
  </si>
  <si>
    <t>Costo Mensual</t>
  </si>
  <si>
    <t>Factor</t>
  </si>
  <si>
    <t>Costo Total Mensual</t>
  </si>
  <si>
    <t>Operario de Limpieza</t>
  </si>
  <si>
    <t>Complementario</t>
  </si>
  <si>
    <t>Lima</t>
  </si>
  <si>
    <t>II.</t>
  </si>
  <si>
    <t>Costo Operativo</t>
  </si>
  <si>
    <t>Costo Mes</t>
  </si>
  <si>
    <t>#</t>
  </si>
  <si>
    <t>Items</t>
  </si>
  <si>
    <t>Fotocheck</t>
  </si>
  <si>
    <t>Atención: Sr. Alexander Salazar</t>
  </si>
  <si>
    <t>Materiales</t>
  </si>
  <si>
    <t>Maquinarias</t>
  </si>
  <si>
    <t>Costo Administrativo</t>
  </si>
  <si>
    <t>Costo financiero</t>
  </si>
  <si>
    <t>Gestión de recurso humano</t>
  </si>
  <si>
    <t>III.</t>
  </si>
  <si>
    <t xml:space="preserve">Utilidad </t>
  </si>
  <si>
    <t>TOTAL MENSUAL</t>
  </si>
  <si>
    <t>CONSIDERACIONES ADICIONALES</t>
  </si>
  <si>
    <t>*Costos no incluyen IGV.</t>
  </si>
  <si>
    <t>*Incluye carta fianza.</t>
  </si>
  <si>
    <t>*Incluye SCTR.</t>
  </si>
  <si>
    <t>*Asignación familiar solo para aquellos que tengan hijos menores de 18 años.</t>
  </si>
  <si>
    <t>|</t>
  </si>
  <si>
    <t xml:space="preserve">TOTAL </t>
  </si>
  <si>
    <t>Esta propuesta es por el plazo de 12 meses.</t>
  </si>
  <si>
    <t xml:space="preserve">CORPORACION MG SAC
</t>
  </si>
  <si>
    <t>Servicio de Intermediación Laboral - Servicio de Limpieza / Patio Abtao</t>
  </si>
  <si>
    <t>Operario de Limpieza (X13 DIAS)</t>
  </si>
  <si>
    <t>13. Esta propuesta incluye materiales e insumos de limpieza (no incluye PPHH y Jabon). Solo se encuentra cotizado para las areas habilitadas del inmueble. Aun no opera al 100% el inmueble. Al activarse al 100% se requerira evaluar cantidad de materiales, maquinarias y personal.</t>
  </si>
  <si>
    <t xml:space="preserve">JUNTA DE PROPIETARIOS ICHMA CORPORATIVO
</t>
  </si>
  <si>
    <t>Servicio de Intermediación Laboral - Servicio de Limpieza / Edificio Ichma (Dionisio Derteano 184)</t>
  </si>
  <si>
    <t>Servicio de Limpieza</t>
  </si>
  <si>
    <t>Maquinaria (01 Fregadora)</t>
  </si>
  <si>
    <t>Maquinaria (01 Aspiradora)</t>
  </si>
  <si>
    <t xml:space="preserve">ONCAP SAC
</t>
  </si>
  <si>
    <t>Dias trabajados</t>
  </si>
  <si>
    <t>OTRILLAS CABANILLAS  LUZ ELIZABETH</t>
  </si>
  <si>
    <t>Administrador</t>
  </si>
  <si>
    <t>Estación Callao</t>
  </si>
  <si>
    <t>MARZANO MALSQUEZ OSCAR HOMERO</t>
  </si>
  <si>
    <t>CAVERO RODRIGUEZ WINY</t>
  </si>
  <si>
    <t>Abastecedor de Combustible</t>
  </si>
  <si>
    <t>MUÑOZ SANCHEZ LUZ</t>
  </si>
  <si>
    <t>DIOSES ROMERO RENZO</t>
  </si>
  <si>
    <t>ANDRADE REYES JHOANA KATHERIN</t>
  </si>
  <si>
    <t>TORRES ESPINAL ISABEL</t>
  </si>
  <si>
    <t>LOZANO TRAMARRÍA YADIRA KRISTEL</t>
  </si>
  <si>
    <t>OTRILLAS CABANILLAS PAOLA</t>
  </si>
  <si>
    <t>SILVA CUETO MARIANA ERIKA</t>
  </si>
  <si>
    <t>SAONA TORRES GERARDO JUNIOR</t>
  </si>
  <si>
    <t>NOLE CRUZ DOMINGO WILFREDO</t>
  </si>
  <si>
    <t>CORONADO PIZARRO  LILIAN ANTHUANELA</t>
  </si>
  <si>
    <t>Ninguno</t>
  </si>
  <si>
    <t>LISTA DE EPPS ESTACIÓN CALLAO</t>
  </si>
  <si>
    <t>N</t>
  </si>
  <si>
    <t>APELLIDOS</t>
  </si>
  <si>
    <t>NOMBRE</t>
  </si>
  <si>
    <t>GUANTES DE NITRILO</t>
  </si>
  <si>
    <t>LENTES</t>
  </si>
  <si>
    <t>ZAPATOS</t>
  </si>
  <si>
    <t>SULLON RAMIREZ</t>
  </si>
  <si>
    <t>RAPHAELLA</t>
  </si>
  <si>
    <t>TABOADA FIGUEROA</t>
  </si>
  <si>
    <t>GONZALO ALFONSO</t>
  </si>
  <si>
    <t>RAMOS ROJAS</t>
  </si>
  <si>
    <t>KELLY</t>
  </si>
  <si>
    <t>CAVERO RODRIGUEZ</t>
  </si>
  <si>
    <t>WINY</t>
  </si>
  <si>
    <t>MARQUINA OCSA</t>
  </si>
  <si>
    <t>CLAUDIA</t>
  </si>
  <si>
    <t>PALOMINO GRADOS</t>
  </si>
  <si>
    <t>ROSA</t>
  </si>
  <si>
    <t>ULLOA NUÑEZ</t>
  </si>
  <si>
    <t>WALTER</t>
  </si>
  <si>
    <t>LUZQUIÑO HERNANDEZ</t>
  </si>
  <si>
    <t>CINDHI</t>
  </si>
  <si>
    <t>GOMEZ VILCAPOMA</t>
  </si>
  <si>
    <t>OLIVIA</t>
  </si>
  <si>
    <t>ZAMBRANO PINEDO</t>
  </si>
  <si>
    <t>SILVIA</t>
  </si>
  <si>
    <t>SAONA TORRES</t>
  </si>
  <si>
    <t>JORGE</t>
  </si>
  <si>
    <t>BARTOLO QUISPE</t>
  </si>
  <si>
    <t>MARÍA</t>
  </si>
  <si>
    <t>MARQUINA LLERENA</t>
  </si>
  <si>
    <t>MIRYAN</t>
  </si>
  <si>
    <t>MANRIQUE BRENIS</t>
  </si>
  <si>
    <t>CINDEL</t>
  </si>
  <si>
    <t>TAPIA PALACIOS</t>
  </si>
  <si>
    <t>KIMBERLY</t>
  </si>
  <si>
    <t>MUÑOZ SANCHEZ</t>
  </si>
  <si>
    <t>LUZ</t>
  </si>
  <si>
    <t>BAZAN TAVARA</t>
  </si>
  <si>
    <t>ELENA</t>
  </si>
  <si>
    <t xml:space="preserve">CAPUÑAY LONDEO </t>
  </si>
  <si>
    <t>MELISSA</t>
  </si>
  <si>
    <t>TOTAL</t>
  </si>
  <si>
    <t>BAZO ZUNICO</t>
  </si>
  <si>
    <t>DURAN BANDA</t>
  </si>
  <si>
    <t>GOMEZ ACARO</t>
  </si>
  <si>
    <t xml:space="preserve">NUNTON CHAFLOQUE </t>
  </si>
  <si>
    <t>BIZIK MILLER</t>
  </si>
  <si>
    <t>Cond Trabajo (BONOS PREMIOS MARZO)</t>
  </si>
  <si>
    <t>Servicio de Administración de Estación Argentina - Mes Abril</t>
  </si>
  <si>
    <t xml:space="preserve">DE LA PEÑA CORTEZ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</si>
</sst>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 * #,##0.00_ ;_ * \-#,##0.00_ ;_ * &quot;-&quot;??_ ;_ @_ "/>
    <numFmt numFmtId="166" formatCode="_-[$S/-280A]* #,##0.00_-;\-[$S/-280A]* #,##0.00_-;_-[$S/-280A]* &quot;-&quot;??_-;_-@_-"/>
    <numFmt numFmtId="167" formatCode="#,##0.000"/>
    <numFmt numFmtId="168" formatCode="0.0000"/>
    <numFmt numFmtId="169" formatCode="_ * #,##0.0000_ ;_ * \-#,##0.0000_ ;_ * \-??_ ;_ @_ "/>
    <numFmt numFmtId="170" formatCode="&quot;HHEE &quot;0.00%"/>
    <numFmt numFmtId="171" formatCode="_ * #,##0.00_ ;_ * \-#,##0.00_ ;_ * \-??_ ;_ @_ "/>
    <numFmt numFmtId="172" formatCode="#,##0.0"/>
    <numFmt numFmtId="173" formatCode="_(* #,##0.00_);_(* \(#,##0.00\);_(* \-??_);_(@_)"/>
    <numFmt numFmtId="174" formatCode="_-[$S/-280A]\ * #,##0.00_-;\-[$S/-280A]\ * #,##0.00_-;_-[$S/-280A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u/>
      <sz val="14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b/>
      <u/>
      <sz val="14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201F1E"/>
      <name val="Calibri"/>
      <family val="2"/>
    </font>
    <font>
      <b/>
      <sz val="14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entury Gothic"/>
      <family val="2"/>
    </font>
    <font>
      <sz val="14"/>
      <color theme="1"/>
      <name val="Cambria"/>
      <family val="1"/>
    </font>
    <font>
      <b/>
      <sz val="14"/>
      <color rgb="FFFFFFFF"/>
      <name val="Century Gothic"/>
      <family val="2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002060"/>
        <bgColor rgb="FF0070C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70C0"/>
      </patternFill>
    </fill>
    <fill>
      <patternFill patternType="solid">
        <fgColor rgb="FF00B050"/>
        <bgColor rgb="FF006600"/>
      </patternFill>
    </fill>
    <fill>
      <patternFill patternType="solid">
        <fgColor rgb="FF002060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62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10" fontId="4" fillId="3" borderId="0" xfId="0" applyNumberFormat="1" applyFont="1" applyFill="1" applyAlignment="1">
      <alignment horizontal="left" vertical="top"/>
    </xf>
    <xf numFmtId="2" fontId="4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vertical="center"/>
    </xf>
    <xf numFmtId="0" fontId="5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0" borderId="0" xfId="0" applyFont="1"/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horizontal="center" vertical="center"/>
    </xf>
    <xf numFmtId="169" fontId="8" fillId="5" borderId="4" xfId="0" applyNumberFormat="1" applyFont="1" applyFill="1" applyBorder="1" applyAlignment="1">
      <alignment horizontal="center" vertical="center"/>
    </xf>
    <xf numFmtId="169" fontId="8" fillId="5" borderId="5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7" fillId="5" borderId="7" xfId="0" applyFont="1" applyFill="1" applyBorder="1" applyAlignment="1">
      <alignment horizontal="center" vertical="center" wrapText="1"/>
    </xf>
    <xf numFmtId="170" fontId="7" fillId="5" borderId="7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vertical="center"/>
    </xf>
    <xf numFmtId="166" fontId="2" fillId="3" borderId="0" xfId="0" applyNumberFormat="1" applyFont="1" applyFill="1" applyAlignment="1">
      <alignment vertical="center"/>
    </xf>
    <xf numFmtId="171" fontId="2" fillId="3" borderId="0" xfId="0" applyNumberFormat="1" applyFont="1" applyFill="1" applyAlignment="1">
      <alignment vertical="center"/>
    </xf>
    <xf numFmtId="164" fontId="2" fillId="3" borderId="10" xfId="1" applyFont="1" applyFill="1" applyBorder="1" applyAlignment="1">
      <alignment vertical="center"/>
    </xf>
    <xf numFmtId="172" fontId="2" fillId="3" borderId="12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6" fontId="4" fillId="4" borderId="13" xfId="0" applyNumberFormat="1" applyFont="1" applyFill="1" applyBorder="1" applyAlignment="1">
      <alignment vertical="center"/>
    </xf>
    <xf numFmtId="166" fontId="4" fillId="4" borderId="0" xfId="0" applyNumberFormat="1" applyFont="1" applyFill="1" applyAlignment="1">
      <alignment vertical="center"/>
    </xf>
    <xf numFmtId="171" fontId="4" fillId="4" borderId="0" xfId="0" applyNumberFormat="1" applyFont="1" applyFill="1" applyAlignment="1">
      <alignment vertical="center"/>
    </xf>
    <xf numFmtId="164" fontId="4" fillId="4" borderId="13" xfId="1" applyFont="1" applyFill="1" applyBorder="1" applyAlignment="1">
      <alignment vertical="center"/>
    </xf>
    <xf numFmtId="166" fontId="4" fillId="4" borderId="13" xfId="1" applyNumberFormat="1" applyFont="1" applyFill="1" applyBorder="1" applyAlignment="1">
      <alignment vertical="center"/>
    </xf>
    <xf numFmtId="43" fontId="2" fillId="0" borderId="0" xfId="0" applyNumberFormat="1" applyFont="1"/>
    <xf numFmtId="0" fontId="4" fillId="10" borderId="4" xfId="0" applyFont="1" applyFill="1" applyBorder="1" applyAlignment="1">
      <alignment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vertical="center"/>
    </xf>
    <xf numFmtId="2" fontId="4" fillId="3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0" fontId="4" fillId="10" borderId="10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vertical="center"/>
    </xf>
    <xf numFmtId="10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43" fontId="2" fillId="3" borderId="0" xfId="0" applyNumberFormat="1" applyFont="1" applyFill="1" applyAlignment="1">
      <alignment vertical="center"/>
    </xf>
    <xf numFmtId="171" fontId="4" fillId="2" borderId="0" xfId="0" applyNumberFormat="1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173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2" fontId="2" fillId="3" borderId="0" xfId="0" applyNumberFormat="1" applyFont="1" applyFill="1" applyAlignment="1">
      <alignment vertical="center"/>
    </xf>
    <xf numFmtId="0" fontId="7" fillId="5" borderId="8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vertical="center"/>
    </xf>
    <xf numFmtId="166" fontId="7" fillId="5" borderId="1" xfId="0" applyNumberFormat="1" applyFont="1" applyFill="1" applyBorder="1" applyAlignment="1">
      <alignment horizontal="center" vertical="center"/>
    </xf>
    <xf numFmtId="166" fontId="2" fillId="2" borderId="0" xfId="0" applyNumberFormat="1" applyFont="1" applyFill="1"/>
    <xf numFmtId="166" fontId="2" fillId="4" borderId="1" xfId="0" applyNumberFormat="1" applyFont="1" applyFill="1" applyBorder="1" applyAlignment="1">
      <alignment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166" fontId="4" fillId="3" borderId="0" xfId="0" applyNumberFormat="1" applyFont="1" applyFill="1" applyAlignment="1">
      <alignment vertical="center"/>
    </xf>
    <xf numFmtId="0" fontId="7" fillId="5" borderId="4" xfId="0" applyFont="1" applyFill="1" applyBorder="1" applyAlignment="1">
      <alignment vertical="center"/>
    </xf>
    <xf numFmtId="0" fontId="8" fillId="2" borderId="0" xfId="0" applyFont="1" applyFill="1"/>
    <xf numFmtId="0" fontId="4" fillId="2" borderId="0" xfId="0" applyFont="1" applyFill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2" fontId="7" fillId="3" borderId="0" xfId="0" applyNumberFormat="1" applyFont="1" applyFill="1" applyAlignment="1">
      <alignment vertical="center"/>
    </xf>
    <xf numFmtId="10" fontId="7" fillId="3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5" borderId="15" xfId="0" applyFont="1" applyFill="1" applyBorder="1" applyAlignment="1">
      <alignment horizontal="right" vertical="center"/>
    </xf>
    <xf numFmtId="10" fontId="7" fillId="5" borderId="16" xfId="0" applyNumberFormat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vertical="center"/>
    </xf>
    <xf numFmtId="166" fontId="4" fillId="3" borderId="10" xfId="0" applyNumberFormat="1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166" fontId="4" fillId="4" borderId="1" xfId="0" applyNumberFormat="1" applyFont="1" applyFill="1" applyBorder="1" applyAlignment="1">
      <alignment horizontal="center" vertical="center"/>
    </xf>
    <xf numFmtId="173" fontId="10" fillId="3" borderId="0" xfId="0" applyNumberFormat="1" applyFont="1" applyFill="1" applyAlignment="1">
      <alignment horizontal="center" vertical="center"/>
    </xf>
    <xf numFmtId="173" fontId="10" fillId="4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11" fillId="0" borderId="0" xfId="0" applyFont="1" applyAlignment="1">
      <alignment horizontal="left" vertical="center" wrapText="1" inden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167" fontId="4" fillId="4" borderId="0" xfId="0" applyNumberFormat="1" applyFont="1" applyFill="1" applyAlignment="1">
      <alignment horizontal="left" vertical="top" wrapText="1"/>
    </xf>
    <xf numFmtId="173" fontId="8" fillId="3" borderId="0" xfId="0" applyNumberFormat="1" applyFont="1" applyFill="1" applyAlignment="1">
      <alignment horizontal="center" vertical="center"/>
    </xf>
    <xf numFmtId="173" fontId="8" fillId="4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166" fontId="2" fillId="4" borderId="0" xfId="0" applyNumberFormat="1" applyFont="1" applyFill="1" applyAlignment="1">
      <alignment vertical="center"/>
    </xf>
    <xf numFmtId="166" fontId="4" fillId="4" borderId="0" xfId="0" applyNumberFormat="1" applyFont="1" applyFill="1" applyAlignment="1">
      <alignment horizontal="center" vertical="center"/>
    </xf>
    <xf numFmtId="166" fontId="7" fillId="7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166" fontId="12" fillId="4" borderId="0" xfId="0" applyNumberFormat="1" applyFont="1" applyFill="1" applyAlignment="1">
      <alignment vertical="center"/>
    </xf>
    <xf numFmtId="0" fontId="16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7" fillId="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/>
    </xf>
    <xf numFmtId="174" fontId="0" fillId="0" borderId="1" xfId="0" applyNumberFormat="1" applyBorder="1"/>
    <xf numFmtId="174" fontId="0" fillId="12" borderId="1" xfId="0" applyNumberFormat="1" applyFill="1" applyBorder="1"/>
    <xf numFmtId="0" fontId="15" fillId="0" borderId="0" xfId="0" applyFont="1"/>
    <xf numFmtId="0" fontId="15" fillId="0" borderId="1" xfId="0" applyFont="1" applyBorder="1"/>
    <xf numFmtId="174" fontId="15" fillId="0" borderId="1" xfId="0" applyNumberFormat="1" applyFont="1" applyBorder="1"/>
    <xf numFmtId="171" fontId="2" fillId="4" borderId="0" xfId="0" applyNumberFormat="1" applyFont="1" applyFill="1" applyAlignment="1">
      <alignment vertical="center"/>
    </xf>
    <xf numFmtId="164" fontId="2" fillId="4" borderId="10" xfId="1" applyFont="1" applyFill="1" applyBorder="1" applyAlignment="1">
      <alignment vertical="center"/>
    </xf>
    <xf numFmtId="172" fontId="2" fillId="4" borderId="12" xfId="0" applyNumberFormat="1" applyFont="1" applyFill="1" applyBorder="1" applyAlignment="1">
      <alignment horizontal="center" vertical="center"/>
    </xf>
    <xf numFmtId="166" fontId="7" fillId="5" borderId="28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8" fillId="6" borderId="6" xfId="0" applyFont="1" applyFill="1" applyBorder="1"/>
    <xf numFmtId="0" fontId="4" fillId="7" borderId="8" xfId="0" applyFont="1" applyFill="1" applyBorder="1" applyAlignment="1">
      <alignment horizontal="center" vertical="center" wrapText="1"/>
    </xf>
    <xf numFmtId="0" fontId="2" fillId="2" borderId="9" xfId="0" applyFont="1" applyFill="1" applyBorder="1"/>
    <xf numFmtId="0" fontId="4" fillId="10" borderId="7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/>
    <xf numFmtId="0" fontId="7" fillId="5" borderId="5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9" borderId="20" xfId="0" applyFont="1" applyFill="1" applyBorder="1" applyAlignment="1">
      <alignment horizontal="left" vertical="center"/>
    </xf>
    <xf numFmtId="0" fontId="7" fillId="9" borderId="21" xfId="0" applyFont="1" applyFill="1" applyBorder="1" applyAlignment="1">
      <alignment horizontal="left" vertical="center"/>
    </xf>
    <xf numFmtId="0" fontId="7" fillId="9" borderId="22" xfId="0" applyFont="1" applyFill="1" applyBorder="1" applyAlignment="1">
      <alignment horizontal="left" vertical="center"/>
    </xf>
    <xf numFmtId="167" fontId="4" fillId="4" borderId="0" xfId="0" applyNumberFormat="1" applyFont="1" applyFill="1" applyAlignment="1">
      <alignment horizontal="left" vertical="top" wrapText="1"/>
    </xf>
    <xf numFmtId="0" fontId="19" fillId="0" borderId="0" xfId="0" applyFont="1" applyAlignment="1">
      <alignment horizontal="center"/>
    </xf>
  </cellXfs>
  <cellStyles count="4">
    <cellStyle name="Hyperlink" xfId="3" xr:uid="{49831675-E6A5-4C75-84B9-9C697D285B29}"/>
    <cellStyle name="Moneda" xfId="1" builtinId="4"/>
    <cellStyle name="Moneda 2" xfId="2" xr:uid="{112AA654-A31F-49A4-BBD6-57DA532937D2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133350</xdr:rowOff>
    </xdr:from>
    <xdr:to>
      <xdr:col>3</xdr:col>
      <xdr:colOff>257176</xdr:colOff>
      <xdr:row>1</xdr:row>
      <xdr:rowOff>89535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9AD33220-B906-45FD-8A3D-135FB3FFD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33350"/>
          <a:ext cx="333375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180976</xdr:rowOff>
    </xdr:from>
    <xdr:to>
      <xdr:col>2</xdr:col>
      <xdr:colOff>457200</xdr:colOff>
      <xdr:row>1</xdr:row>
      <xdr:rowOff>82725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E441BA68-C211-48D7-9C9A-77301F990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80976"/>
          <a:ext cx="2695575" cy="1225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171451</xdr:rowOff>
    </xdr:from>
    <xdr:to>
      <xdr:col>2</xdr:col>
      <xdr:colOff>400050</xdr:colOff>
      <xdr:row>1</xdr:row>
      <xdr:rowOff>150622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833ED8E6-36BB-4B09-9127-C939E9A3B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71451"/>
          <a:ext cx="2562225" cy="13031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295275</xdr:rowOff>
    </xdr:from>
    <xdr:to>
      <xdr:col>1</xdr:col>
      <xdr:colOff>2809875</xdr:colOff>
      <xdr:row>1</xdr:row>
      <xdr:rowOff>19050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7087BD41-FAD2-43C9-A99A-36F01D64F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95275"/>
          <a:ext cx="28860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1</xdr:row>
      <xdr:rowOff>228600</xdr:rowOff>
    </xdr:from>
    <xdr:to>
      <xdr:col>3</xdr:col>
      <xdr:colOff>200025</xdr:colOff>
      <xdr:row>1</xdr:row>
      <xdr:rowOff>952500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69B6BC-FF34-0571-209B-7E2BF4D72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19100"/>
          <a:ext cx="20764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odata\Datos%20Opalo\2020\Comercial\INFO%20COMERCIAL\CLIENTES%20VARIOS\COLLIERS\Edificio%20Catu\Propuesta%20economica%20%20-%20Servicio%20de%20Limpieza%20-Edificio%20Catu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odata\Datos%20Opalo\2020\Comercial\INFO%20COMERCIAL\CLIENTES%20VARIOS\COLLIERS\Edificio%20Patio%20Abtao\Propuesta%20economica%20-%20Servicio%20de%20Limpieza%20-%20Edificio%20San%20Isidro%2027%20-%20Abtao-%20LIMPIEZA%20AL%20%20%20%20100%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odata\Datos%20Opalo\2020\Comercial\INFO%20COMERCIAL\CLIENTES%20VARIOS\COLLIERS\Edificio%20Ichma\Edificio%20Ichma%20-%20Corporacion%20MG%20-%20Incluye%20Aspirado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uesta"/>
      <sheetName val="Resumen"/>
      <sheetName val="CAdmL"/>
      <sheetName val="Materiales Amb 1"/>
      <sheetName val="Refacturables"/>
      <sheetName val="OC"/>
      <sheetName val="Factores de correcion de costos"/>
      <sheetName val="Costos Adm"/>
      <sheetName val="Hoja1"/>
    </sheetNames>
    <sheetDataSet>
      <sheetData sheetId="0">
        <row r="42">
          <cell r="U42">
            <v>6.5420560747663559E-2</v>
          </cell>
        </row>
      </sheetData>
      <sheetData sheetId="1"/>
      <sheetData sheetId="2">
        <row r="32">
          <cell r="F32">
            <v>258.29999999999995</v>
          </cell>
        </row>
      </sheetData>
      <sheetData sheetId="3">
        <row r="68">
          <cell r="F68">
            <v>711.12833333333344</v>
          </cell>
        </row>
        <row r="75">
          <cell r="F75">
            <v>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Hoja4"/>
      <sheetName val="Hoja3"/>
    </sheetNames>
    <sheetDataSet>
      <sheetData sheetId="0">
        <row r="42">
          <cell r="U42">
            <v>6.5420560747663559E-2</v>
          </cell>
        </row>
      </sheetData>
      <sheetData sheetId="1"/>
      <sheetData sheetId="2">
        <row r="32">
          <cell r="F32">
            <v>318.3</v>
          </cell>
        </row>
      </sheetData>
      <sheetData sheetId="3">
        <row r="39">
          <cell r="F39">
            <v>901.0100000000001</v>
          </cell>
        </row>
        <row r="46">
          <cell r="F46">
            <v>476.85500000000002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uesta"/>
      <sheetName val="Resumen"/>
      <sheetName val="Abs Consultas"/>
      <sheetName val="SUP SERVICIO"/>
      <sheetName val="CAdmL"/>
      <sheetName val="Uniformes"/>
      <sheetName val="Materiales"/>
      <sheetName val="OC"/>
      <sheetName val="Factores de correcion de costos"/>
      <sheetName val="Costos Adm"/>
      <sheetName val="Hoja1"/>
    </sheetNames>
    <sheetDataSet>
      <sheetData sheetId="0">
        <row r="42">
          <cell r="U42">
            <v>6.5420560747663559E-2</v>
          </cell>
        </row>
      </sheetData>
      <sheetData sheetId="1"/>
      <sheetData sheetId="2"/>
      <sheetData sheetId="3"/>
      <sheetData sheetId="4">
        <row r="22">
          <cell r="E22">
            <v>286</v>
          </cell>
          <cell r="H22">
            <v>17.708333333333332</v>
          </cell>
        </row>
      </sheetData>
      <sheetData sheetId="5"/>
      <sheetData sheetId="6">
        <row r="36">
          <cell r="F36">
            <v>376.18333333333328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F938-23E1-42D3-A1F2-7DFC9861CF2B}">
  <sheetPr>
    <pageSetUpPr fitToPage="1"/>
  </sheetPr>
  <dimension ref="A1:AK529"/>
  <sheetViews>
    <sheetView topLeftCell="A13" zoomScale="65" zoomScaleNormal="65" workbookViewId="0">
      <selection activeCell="I39" sqref="I39"/>
    </sheetView>
  </sheetViews>
  <sheetFormatPr baseColWidth="10" defaultColWidth="17.28515625" defaultRowHeight="15" customHeight="1" x14ac:dyDescent="0.25"/>
  <cols>
    <col min="1" max="1" width="4" style="14" customWidth="1"/>
    <col min="2" max="2" width="32.5703125" style="14" customWidth="1"/>
    <col min="3" max="3" width="10.7109375" style="14" bestFit="1" customWidth="1"/>
    <col min="4" max="4" width="20.85546875" style="110" customWidth="1"/>
    <col min="5" max="5" width="18" style="14" customWidth="1"/>
    <col min="6" max="6" width="2" style="14" customWidth="1"/>
    <col min="7" max="7" width="16.5703125" style="14" bestFit="1" customWidth="1"/>
    <col min="8" max="8" width="13.85546875" style="14" bestFit="1" customWidth="1"/>
    <col min="9" max="9" width="18.7109375" style="14" bestFit="1" customWidth="1"/>
    <col min="10" max="10" width="14.140625" style="14" bestFit="1" customWidth="1"/>
    <col min="11" max="11" width="12" style="14" bestFit="1" customWidth="1"/>
    <col min="12" max="12" width="16.5703125" style="14" bestFit="1" customWidth="1"/>
    <col min="13" max="13" width="14.140625" style="14" bestFit="1" customWidth="1"/>
    <col min="14" max="14" width="16.5703125" style="14" bestFit="1" customWidth="1"/>
    <col min="15" max="15" width="1.85546875" style="14" customWidth="1"/>
    <col min="16" max="18" width="14.140625" style="14" bestFit="1" customWidth="1"/>
    <col min="19" max="19" width="9.5703125" style="14" customWidth="1"/>
    <col min="20" max="20" width="14.140625" style="14" bestFit="1" customWidth="1"/>
    <col min="21" max="21" width="11" style="14" bestFit="1" customWidth="1"/>
    <col min="22" max="22" width="11.42578125" style="14" customWidth="1"/>
    <col min="23" max="23" width="1.5703125" style="14" customWidth="1"/>
    <col min="24" max="24" width="16.5703125" style="14" bestFit="1" customWidth="1"/>
    <col min="25" max="25" width="1.5703125" style="14" customWidth="1"/>
    <col min="26" max="26" width="11.28515625" style="14" customWidth="1"/>
    <col min="27" max="27" width="0.85546875" style="14" customWidth="1"/>
    <col min="28" max="28" width="16.5703125" style="14" bestFit="1" customWidth="1"/>
    <col min="29" max="37" width="11.7109375" style="14" customWidth="1"/>
    <col min="38" max="256" width="17.28515625" style="14"/>
    <col min="257" max="257" width="4" style="14" customWidth="1"/>
    <col min="258" max="258" width="32.5703125" style="14" customWidth="1"/>
    <col min="259" max="259" width="10.7109375" style="14" bestFit="1" customWidth="1"/>
    <col min="260" max="260" width="20.85546875" style="14" customWidth="1"/>
    <col min="261" max="261" width="18" style="14" customWidth="1"/>
    <col min="262" max="262" width="2" style="14" customWidth="1"/>
    <col min="263" max="263" width="16.5703125" style="14" bestFit="1" customWidth="1"/>
    <col min="264" max="264" width="13.85546875" style="14" bestFit="1" customWidth="1"/>
    <col min="265" max="265" width="18.7109375" style="14" bestFit="1" customWidth="1"/>
    <col min="266" max="266" width="14.140625" style="14" bestFit="1" customWidth="1"/>
    <col min="267" max="267" width="12" style="14" bestFit="1" customWidth="1"/>
    <col min="268" max="268" width="16.5703125" style="14" bestFit="1" customWidth="1"/>
    <col min="269" max="269" width="14.140625" style="14" bestFit="1" customWidth="1"/>
    <col min="270" max="270" width="16.5703125" style="14" bestFit="1" customWidth="1"/>
    <col min="271" max="271" width="1.85546875" style="14" customWidth="1"/>
    <col min="272" max="274" width="14.140625" style="14" bestFit="1" customWidth="1"/>
    <col min="275" max="275" width="9.5703125" style="14" customWidth="1"/>
    <col min="276" max="276" width="14.140625" style="14" bestFit="1" customWidth="1"/>
    <col min="277" max="277" width="11" style="14" bestFit="1" customWidth="1"/>
    <col min="278" max="278" width="11.42578125" style="14" customWidth="1"/>
    <col min="279" max="279" width="1.5703125" style="14" customWidth="1"/>
    <col min="280" max="280" width="16.5703125" style="14" bestFit="1" customWidth="1"/>
    <col min="281" max="281" width="1.5703125" style="14" customWidth="1"/>
    <col min="282" max="282" width="11.28515625" style="14" customWidth="1"/>
    <col min="283" max="283" width="0.85546875" style="14" customWidth="1"/>
    <col min="284" max="284" width="16.5703125" style="14" bestFit="1" customWidth="1"/>
    <col min="285" max="293" width="11.7109375" style="14" customWidth="1"/>
    <col min="294" max="512" width="17.28515625" style="14"/>
    <col min="513" max="513" width="4" style="14" customWidth="1"/>
    <col min="514" max="514" width="32.5703125" style="14" customWidth="1"/>
    <col min="515" max="515" width="10.7109375" style="14" bestFit="1" customWidth="1"/>
    <col min="516" max="516" width="20.85546875" style="14" customWidth="1"/>
    <col min="517" max="517" width="18" style="14" customWidth="1"/>
    <col min="518" max="518" width="2" style="14" customWidth="1"/>
    <col min="519" max="519" width="16.5703125" style="14" bestFit="1" customWidth="1"/>
    <col min="520" max="520" width="13.85546875" style="14" bestFit="1" customWidth="1"/>
    <col min="521" max="521" width="18.7109375" style="14" bestFit="1" customWidth="1"/>
    <col min="522" max="522" width="14.140625" style="14" bestFit="1" customWidth="1"/>
    <col min="523" max="523" width="12" style="14" bestFit="1" customWidth="1"/>
    <col min="524" max="524" width="16.5703125" style="14" bestFit="1" customWidth="1"/>
    <col min="525" max="525" width="14.140625" style="14" bestFit="1" customWidth="1"/>
    <col min="526" max="526" width="16.5703125" style="14" bestFit="1" customWidth="1"/>
    <col min="527" max="527" width="1.85546875" style="14" customWidth="1"/>
    <col min="528" max="530" width="14.140625" style="14" bestFit="1" customWidth="1"/>
    <col min="531" max="531" width="9.5703125" style="14" customWidth="1"/>
    <col min="532" max="532" width="14.140625" style="14" bestFit="1" customWidth="1"/>
    <col min="533" max="533" width="11" style="14" bestFit="1" customWidth="1"/>
    <col min="534" max="534" width="11.42578125" style="14" customWidth="1"/>
    <col min="535" max="535" width="1.5703125" style="14" customWidth="1"/>
    <col min="536" max="536" width="16.5703125" style="14" bestFit="1" customWidth="1"/>
    <col min="537" max="537" width="1.5703125" style="14" customWidth="1"/>
    <col min="538" max="538" width="11.28515625" style="14" customWidth="1"/>
    <col min="539" max="539" width="0.85546875" style="14" customWidth="1"/>
    <col min="540" max="540" width="16.5703125" style="14" bestFit="1" customWidth="1"/>
    <col min="541" max="549" width="11.7109375" style="14" customWidth="1"/>
    <col min="550" max="768" width="17.28515625" style="14"/>
    <col min="769" max="769" width="4" style="14" customWidth="1"/>
    <col min="770" max="770" width="32.5703125" style="14" customWidth="1"/>
    <col min="771" max="771" width="10.7109375" style="14" bestFit="1" customWidth="1"/>
    <col min="772" max="772" width="20.85546875" style="14" customWidth="1"/>
    <col min="773" max="773" width="18" style="14" customWidth="1"/>
    <col min="774" max="774" width="2" style="14" customWidth="1"/>
    <col min="775" max="775" width="16.5703125" style="14" bestFit="1" customWidth="1"/>
    <col min="776" max="776" width="13.85546875" style="14" bestFit="1" customWidth="1"/>
    <col min="777" max="777" width="18.7109375" style="14" bestFit="1" customWidth="1"/>
    <col min="778" max="778" width="14.140625" style="14" bestFit="1" customWidth="1"/>
    <col min="779" max="779" width="12" style="14" bestFit="1" customWidth="1"/>
    <col min="780" max="780" width="16.5703125" style="14" bestFit="1" customWidth="1"/>
    <col min="781" max="781" width="14.140625" style="14" bestFit="1" customWidth="1"/>
    <col min="782" max="782" width="16.5703125" style="14" bestFit="1" customWidth="1"/>
    <col min="783" max="783" width="1.85546875" style="14" customWidth="1"/>
    <col min="784" max="786" width="14.140625" style="14" bestFit="1" customWidth="1"/>
    <col min="787" max="787" width="9.5703125" style="14" customWidth="1"/>
    <col min="788" max="788" width="14.140625" style="14" bestFit="1" customWidth="1"/>
    <col min="789" max="789" width="11" style="14" bestFit="1" customWidth="1"/>
    <col min="790" max="790" width="11.42578125" style="14" customWidth="1"/>
    <col min="791" max="791" width="1.5703125" style="14" customWidth="1"/>
    <col min="792" max="792" width="16.5703125" style="14" bestFit="1" customWidth="1"/>
    <col min="793" max="793" width="1.5703125" style="14" customWidth="1"/>
    <col min="794" max="794" width="11.28515625" style="14" customWidth="1"/>
    <col min="795" max="795" width="0.85546875" style="14" customWidth="1"/>
    <col min="796" max="796" width="16.5703125" style="14" bestFit="1" customWidth="1"/>
    <col min="797" max="805" width="11.7109375" style="14" customWidth="1"/>
    <col min="806" max="1024" width="17.28515625" style="14"/>
    <col min="1025" max="1025" width="4" style="14" customWidth="1"/>
    <col min="1026" max="1026" width="32.5703125" style="14" customWidth="1"/>
    <col min="1027" max="1027" width="10.7109375" style="14" bestFit="1" customWidth="1"/>
    <col min="1028" max="1028" width="20.85546875" style="14" customWidth="1"/>
    <col min="1029" max="1029" width="18" style="14" customWidth="1"/>
    <col min="1030" max="1030" width="2" style="14" customWidth="1"/>
    <col min="1031" max="1031" width="16.5703125" style="14" bestFit="1" customWidth="1"/>
    <col min="1032" max="1032" width="13.85546875" style="14" bestFit="1" customWidth="1"/>
    <col min="1033" max="1033" width="18.7109375" style="14" bestFit="1" customWidth="1"/>
    <col min="1034" max="1034" width="14.140625" style="14" bestFit="1" customWidth="1"/>
    <col min="1035" max="1035" width="12" style="14" bestFit="1" customWidth="1"/>
    <col min="1036" max="1036" width="16.5703125" style="14" bestFit="1" customWidth="1"/>
    <col min="1037" max="1037" width="14.140625" style="14" bestFit="1" customWidth="1"/>
    <col min="1038" max="1038" width="16.5703125" style="14" bestFit="1" customWidth="1"/>
    <col min="1039" max="1039" width="1.85546875" style="14" customWidth="1"/>
    <col min="1040" max="1042" width="14.140625" style="14" bestFit="1" customWidth="1"/>
    <col min="1043" max="1043" width="9.5703125" style="14" customWidth="1"/>
    <col min="1044" max="1044" width="14.140625" style="14" bestFit="1" customWidth="1"/>
    <col min="1045" max="1045" width="11" style="14" bestFit="1" customWidth="1"/>
    <col min="1046" max="1046" width="11.42578125" style="14" customWidth="1"/>
    <col min="1047" max="1047" width="1.5703125" style="14" customWidth="1"/>
    <col min="1048" max="1048" width="16.5703125" style="14" bestFit="1" customWidth="1"/>
    <col min="1049" max="1049" width="1.5703125" style="14" customWidth="1"/>
    <col min="1050" max="1050" width="11.28515625" style="14" customWidth="1"/>
    <col min="1051" max="1051" width="0.85546875" style="14" customWidth="1"/>
    <col min="1052" max="1052" width="16.5703125" style="14" bestFit="1" customWidth="1"/>
    <col min="1053" max="1061" width="11.7109375" style="14" customWidth="1"/>
    <col min="1062" max="1280" width="17.28515625" style="14"/>
    <col min="1281" max="1281" width="4" style="14" customWidth="1"/>
    <col min="1282" max="1282" width="32.5703125" style="14" customWidth="1"/>
    <col min="1283" max="1283" width="10.7109375" style="14" bestFit="1" customWidth="1"/>
    <col min="1284" max="1284" width="20.85546875" style="14" customWidth="1"/>
    <col min="1285" max="1285" width="18" style="14" customWidth="1"/>
    <col min="1286" max="1286" width="2" style="14" customWidth="1"/>
    <col min="1287" max="1287" width="16.5703125" style="14" bestFit="1" customWidth="1"/>
    <col min="1288" max="1288" width="13.85546875" style="14" bestFit="1" customWidth="1"/>
    <col min="1289" max="1289" width="18.7109375" style="14" bestFit="1" customWidth="1"/>
    <col min="1290" max="1290" width="14.140625" style="14" bestFit="1" customWidth="1"/>
    <col min="1291" max="1291" width="12" style="14" bestFit="1" customWidth="1"/>
    <col min="1292" max="1292" width="16.5703125" style="14" bestFit="1" customWidth="1"/>
    <col min="1293" max="1293" width="14.140625" style="14" bestFit="1" customWidth="1"/>
    <col min="1294" max="1294" width="16.5703125" style="14" bestFit="1" customWidth="1"/>
    <col min="1295" max="1295" width="1.85546875" style="14" customWidth="1"/>
    <col min="1296" max="1298" width="14.140625" style="14" bestFit="1" customWidth="1"/>
    <col min="1299" max="1299" width="9.5703125" style="14" customWidth="1"/>
    <col min="1300" max="1300" width="14.140625" style="14" bestFit="1" customWidth="1"/>
    <col min="1301" max="1301" width="11" style="14" bestFit="1" customWidth="1"/>
    <col min="1302" max="1302" width="11.42578125" style="14" customWidth="1"/>
    <col min="1303" max="1303" width="1.5703125" style="14" customWidth="1"/>
    <col min="1304" max="1304" width="16.5703125" style="14" bestFit="1" customWidth="1"/>
    <col min="1305" max="1305" width="1.5703125" style="14" customWidth="1"/>
    <col min="1306" max="1306" width="11.28515625" style="14" customWidth="1"/>
    <col min="1307" max="1307" width="0.85546875" style="14" customWidth="1"/>
    <col min="1308" max="1308" width="16.5703125" style="14" bestFit="1" customWidth="1"/>
    <col min="1309" max="1317" width="11.7109375" style="14" customWidth="1"/>
    <col min="1318" max="1536" width="17.28515625" style="14"/>
    <col min="1537" max="1537" width="4" style="14" customWidth="1"/>
    <col min="1538" max="1538" width="32.5703125" style="14" customWidth="1"/>
    <col min="1539" max="1539" width="10.7109375" style="14" bestFit="1" customWidth="1"/>
    <col min="1540" max="1540" width="20.85546875" style="14" customWidth="1"/>
    <col min="1541" max="1541" width="18" style="14" customWidth="1"/>
    <col min="1542" max="1542" width="2" style="14" customWidth="1"/>
    <col min="1543" max="1543" width="16.5703125" style="14" bestFit="1" customWidth="1"/>
    <col min="1544" max="1544" width="13.85546875" style="14" bestFit="1" customWidth="1"/>
    <col min="1545" max="1545" width="18.7109375" style="14" bestFit="1" customWidth="1"/>
    <col min="1546" max="1546" width="14.140625" style="14" bestFit="1" customWidth="1"/>
    <col min="1547" max="1547" width="12" style="14" bestFit="1" customWidth="1"/>
    <col min="1548" max="1548" width="16.5703125" style="14" bestFit="1" customWidth="1"/>
    <col min="1549" max="1549" width="14.140625" style="14" bestFit="1" customWidth="1"/>
    <col min="1550" max="1550" width="16.5703125" style="14" bestFit="1" customWidth="1"/>
    <col min="1551" max="1551" width="1.85546875" style="14" customWidth="1"/>
    <col min="1552" max="1554" width="14.140625" style="14" bestFit="1" customWidth="1"/>
    <col min="1555" max="1555" width="9.5703125" style="14" customWidth="1"/>
    <col min="1556" max="1556" width="14.140625" style="14" bestFit="1" customWidth="1"/>
    <col min="1557" max="1557" width="11" style="14" bestFit="1" customWidth="1"/>
    <col min="1558" max="1558" width="11.42578125" style="14" customWidth="1"/>
    <col min="1559" max="1559" width="1.5703125" style="14" customWidth="1"/>
    <col min="1560" max="1560" width="16.5703125" style="14" bestFit="1" customWidth="1"/>
    <col min="1561" max="1561" width="1.5703125" style="14" customWidth="1"/>
    <col min="1562" max="1562" width="11.28515625" style="14" customWidth="1"/>
    <col min="1563" max="1563" width="0.85546875" style="14" customWidth="1"/>
    <col min="1564" max="1564" width="16.5703125" style="14" bestFit="1" customWidth="1"/>
    <col min="1565" max="1573" width="11.7109375" style="14" customWidth="1"/>
    <col min="1574" max="1792" width="17.28515625" style="14"/>
    <col min="1793" max="1793" width="4" style="14" customWidth="1"/>
    <col min="1794" max="1794" width="32.5703125" style="14" customWidth="1"/>
    <col min="1795" max="1795" width="10.7109375" style="14" bestFit="1" customWidth="1"/>
    <col min="1796" max="1796" width="20.85546875" style="14" customWidth="1"/>
    <col min="1797" max="1797" width="18" style="14" customWidth="1"/>
    <col min="1798" max="1798" width="2" style="14" customWidth="1"/>
    <col min="1799" max="1799" width="16.5703125" style="14" bestFit="1" customWidth="1"/>
    <col min="1800" max="1800" width="13.85546875" style="14" bestFit="1" customWidth="1"/>
    <col min="1801" max="1801" width="18.7109375" style="14" bestFit="1" customWidth="1"/>
    <col min="1802" max="1802" width="14.140625" style="14" bestFit="1" customWidth="1"/>
    <col min="1803" max="1803" width="12" style="14" bestFit="1" customWidth="1"/>
    <col min="1804" max="1804" width="16.5703125" style="14" bestFit="1" customWidth="1"/>
    <col min="1805" max="1805" width="14.140625" style="14" bestFit="1" customWidth="1"/>
    <col min="1806" max="1806" width="16.5703125" style="14" bestFit="1" customWidth="1"/>
    <col min="1807" max="1807" width="1.85546875" style="14" customWidth="1"/>
    <col min="1808" max="1810" width="14.140625" style="14" bestFit="1" customWidth="1"/>
    <col min="1811" max="1811" width="9.5703125" style="14" customWidth="1"/>
    <col min="1812" max="1812" width="14.140625" style="14" bestFit="1" customWidth="1"/>
    <col min="1813" max="1813" width="11" style="14" bestFit="1" customWidth="1"/>
    <col min="1814" max="1814" width="11.42578125" style="14" customWidth="1"/>
    <col min="1815" max="1815" width="1.5703125" style="14" customWidth="1"/>
    <col min="1816" max="1816" width="16.5703125" style="14" bestFit="1" customWidth="1"/>
    <col min="1817" max="1817" width="1.5703125" style="14" customWidth="1"/>
    <col min="1818" max="1818" width="11.28515625" style="14" customWidth="1"/>
    <col min="1819" max="1819" width="0.85546875" style="14" customWidth="1"/>
    <col min="1820" max="1820" width="16.5703125" style="14" bestFit="1" customWidth="1"/>
    <col min="1821" max="1829" width="11.7109375" style="14" customWidth="1"/>
    <col min="1830" max="2048" width="17.28515625" style="14"/>
    <col min="2049" max="2049" width="4" style="14" customWidth="1"/>
    <col min="2050" max="2050" width="32.5703125" style="14" customWidth="1"/>
    <col min="2051" max="2051" width="10.7109375" style="14" bestFit="1" customWidth="1"/>
    <col min="2052" max="2052" width="20.85546875" style="14" customWidth="1"/>
    <col min="2053" max="2053" width="18" style="14" customWidth="1"/>
    <col min="2054" max="2054" width="2" style="14" customWidth="1"/>
    <col min="2055" max="2055" width="16.5703125" style="14" bestFit="1" customWidth="1"/>
    <col min="2056" max="2056" width="13.85546875" style="14" bestFit="1" customWidth="1"/>
    <col min="2057" max="2057" width="18.7109375" style="14" bestFit="1" customWidth="1"/>
    <col min="2058" max="2058" width="14.140625" style="14" bestFit="1" customWidth="1"/>
    <col min="2059" max="2059" width="12" style="14" bestFit="1" customWidth="1"/>
    <col min="2060" max="2060" width="16.5703125" style="14" bestFit="1" customWidth="1"/>
    <col min="2061" max="2061" width="14.140625" style="14" bestFit="1" customWidth="1"/>
    <col min="2062" max="2062" width="16.5703125" style="14" bestFit="1" customWidth="1"/>
    <col min="2063" max="2063" width="1.85546875" style="14" customWidth="1"/>
    <col min="2064" max="2066" width="14.140625" style="14" bestFit="1" customWidth="1"/>
    <col min="2067" max="2067" width="9.5703125" style="14" customWidth="1"/>
    <col min="2068" max="2068" width="14.140625" style="14" bestFit="1" customWidth="1"/>
    <col min="2069" max="2069" width="11" style="14" bestFit="1" customWidth="1"/>
    <col min="2070" max="2070" width="11.42578125" style="14" customWidth="1"/>
    <col min="2071" max="2071" width="1.5703125" style="14" customWidth="1"/>
    <col min="2072" max="2072" width="16.5703125" style="14" bestFit="1" customWidth="1"/>
    <col min="2073" max="2073" width="1.5703125" style="14" customWidth="1"/>
    <col min="2074" max="2074" width="11.28515625" style="14" customWidth="1"/>
    <col min="2075" max="2075" width="0.85546875" style="14" customWidth="1"/>
    <col min="2076" max="2076" width="16.5703125" style="14" bestFit="1" customWidth="1"/>
    <col min="2077" max="2085" width="11.7109375" style="14" customWidth="1"/>
    <col min="2086" max="2304" width="17.28515625" style="14"/>
    <col min="2305" max="2305" width="4" style="14" customWidth="1"/>
    <col min="2306" max="2306" width="32.5703125" style="14" customWidth="1"/>
    <col min="2307" max="2307" width="10.7109375" style="14" bestFit="1" customWidth="1"/>
    <col min="2308" max="2308" width="20.85546875" style="14" customWidth="1"/>
    <col min="2309" max="2309" width="18" style="14" customWidth="1"/>
    <col min="2310" max="2310" width="2" style="14" customWidth="1"/>
    <col min="2311" max="2311" width="16.5703125" style="14" bestFit="1" customWidth="1"/>
    <col min="2312" max="2312" width="13.85546875" style="14" bestFit="1" customWidth="1"/>
    <col min="2313" max="2313" width="18.7109375" style="14" bestFit="1" customWidth="1"/>
    <col min="2314" max="2314" width="14.140625" style="14" bestFit="1" customWidth="1"/>
    <col min="2315" max="2315" width="12" style="14" bestFit="1" customWidth="1"/>
    <col min="2316" max="2316" width="16.5703125" style="14" bestFit="1" customWidth="1"/>
    <col min="2317" max="2317" width="14.140625" style="14" bestFit="1" customWidth="1"/>
    <col min="2318" max="2318" width="16.5703125" style="14" bestFit="1" customWidth="1"/>
    <col min="2319" max="2319" width="1.85546875" style="14" customWidth="1"/>
    <col min="2320" max="2322" width="14.140625" style="14" bestFit="1" customWidth="1"/>
    <col min="2323" max="2323" width="9.5703125" style="14" customWidth="1"/>
    <col min="2324" max="2324" width="14.140625" style="14" bestFit="1" customWidth="1"/>
    <col min="2325" max="2325" width="11" style="14" bestFit="1" customWidth="1"/>
    <col min="2326" max="2326" width="11.42578125" style="14" customWidth="1"/>
    <col min="2327" max="2327" width="1.5703125" style="14" customWidth="1"/>
    <col min="2328" max="2328" width="16.5703125" style="14" bestFit="1" customWidth="1"/>
    <col min="2329" max="2329" width="1.5703125" style="14" customWidth="1"/>
    <col min="2330" max="2330" width="11.28515625" style="14" customWidth="1"/>
    <col min="2331" max="2331" width="0.85546875" style="14" customWidth="1"/>
    <col min="2332" max="2332" width="16.5703125" style="14" bestFit="1" customWidth="1"/>
    <col min="2333" max="2341" width="11.7109375" style="14" customWidth="1"/>
    <col min="2342" max="2560" width="17.28515625" style="14"/>
    <col min="2561" max="2561" width="4" style="14" customWidth="1"/>
    <col min="2562" max="2562" width="32.5703125" style="14" customWidth="1"/>
    <col min="2563" max="2563" width="10.7109375" style="14" bestFit="1" customWidth="1"/>
    <col min="2564" max="2564" width="20.85546875" style="14" customWidth="1"/>
    <col min="2565" max="2565" width="18" style="14" customWidth="1"/>
    <col min="2566" max="2566" width="2" style="14" customWidth="1"/>
    <col min="2567" max="2567" width="16.5703125" style="14" bestFit="1" customWidth="1"/>
    <col min="2568" max="2568" width="13.85546875" style="14" bestFit="1" customWidth="1"/>
    <col min="2569" max="2569" width="18.7109375" style="14" bestFit="1" customWidth="1"/>
    <col min="2570" max="2570" width="14.140625" style="14" bestFit="1" customWidth="1"/>
    <col min="2571" max="2571" width="12" style="14" bestFit="1" customWidth="1"/>
    <col min="2572" max="2572" width="16.5703125" style="14" bestFit="1" customWidth="1"/>
    <col min="2573" max="2573" width="14.140625" style="14" bestFit="1" customWidth="1"/>
    <col min="2574" max="2574" width="16.5703125" style="14" bestFit="1" customWidth="1"/>
    <col min="2575" max="2575" width="1.85546875" style="14" customWidth="1"/>
    <col min="2576" max="2578" width="14.140625" style="14" bestFit="1" customWidth="1"/>
    <col min="2579" max="2579" width="9.5703125" style="14" customWidth="1"/>
    <col min="2580" max="2580" width="14.140625" style="14" bestFit="1" customWidth="1"/>
    <col min="2581" max="2581" width="11" style="14" bestFit="1" customWidth="1"/>
    <col min="2582" max="2582" width="11.42578125" style="14" customWidth="1"/>
    <col min="2583" max="2583" width="1.5703125" style="14" customWidth="1"/>
    <col min="2584" max="2584" width="16.5703125" style="14" bestFit="1" customWidth="1"/>
    <col min="2585" max="2585" width="1.5703125" style="14" customWidth="1"/>
    <col min="2586" max="2586" width="11.28515625" style="14" customWidth="1"/>
    <col min="2587" max="2587" width="0.85546875" style="14" customWidth="1"/>
    <col min="2588" max="2588" width="16.5703125" style="14" bestFit="1" customWidth="1"/>
    <col min="2589" max="2597" width="11.7109375" style="14" customWidth="1"/>
    <col min="2598" max="2816" width="17.28515625" style="14"/>
    <col min="2817" max="2817" width="4" style="14" customWidth="1"/>
    <col min="2818" max="2818" width="32.5703125" style="14" customWidth="1"/>
    <col min="2819" max="2819" width="10.7109375" style="14" bestFit="1" customWidth="1"/>
    <col min="2820" max="2820" width="20.85546875" style="14" customWidth="1"/>
    <col min="2821" max="2821" width="18" style="14" customWidth="1"/>
    <col min="2822" max="2822" width="2" style="14" customWidth="1"/>
    <col min="2823" max="2823" width="16.5703125" style="14" bestFit="1" customWidth="1"/>
    <col min="2824" max="2824" width="13.85546875" style="14" bestFit="1" customWidth="1"/>
    <col min="2825" max="2825" width="18.7109375" style="14" bestFit="1" customWidth="1"/>
    <col min="2826" max="2826" width="14.140625" style="14" bestFit="1" customWidth="1"/>
    <col min="2827" max="2827" width="12" style="14" bestFit="1" customWidth="1"/>
    <col min="2828" max="2828" width="16.5703125" style="14" bestFit="1" customWidth="1"/>
    <col min="2829" max="2829" width="14.140625" style="14" bestFit="1" customWidth="1"/>
    <col min="2830" max="2830" width="16.5703125" style="14" bestFit="1" customWidth="1"/>
    <col min="2831" max="2831" width="1.85546875" style="14" customWidth="1"/>
    <col min="2832" max="2834" width="14.140625" style="14" bestFit="1" customWidth="1"/>
    <col min="2835" max="2835" width="9.5703125" style="14" customWidth="1"/>
    <col min="2836" max="2836" width="14.140625" style="14" bestFit="1" customWidth="1"/>
    <col min="2837" max="2837" width="11" style="14" bestFit="1" customWidth="1"/>
    <col min="2838" max="2838" width="11.42578125" style="14" customWidth="1"/>
    <col min="2839" max="2839" width="1.5703125" style="14" customWidth="1"/>
    <col min="2840" max="2840" width="16.5703125" style="14" bestFit="1" customWidth="1"/>
    <col min="2841" max="2841" width="1.5703125" style="14" customWidth="1"/>
    <col min="2842" max="2842" width="11.28515625" style="14" customWidth="1"/>
    <col min="2843" max="2843" width="0.85546875" style="14" customWidth="1"/>
    <col min="2844" max="2844" width="16.5703125" style="14" bestFit="1" customWidth="1"/>
    <col min="2845" max="2853" width="11.7109375" style="14" customWidth="1"/>
    <col min="2854" max="3072" width="17.28515625" style="14"/>
    <col min="3073" max="3073" width="4" style="14" customWidth="1"/>
    <col min="3074" max="3074" width="32.5703125" style="14" customWidth="1"/>
    <col min="3075" max="3075" width="10.7109375" style="14" bestFit="1" customWidth="1"/>
    <col min="3076" max="3076" width="20.85546875" style="14" customWidth="1"/>
    <col min="3077" max="3077" width="18" style="14" customWidth="1"/>
    <col min="3078" max="3078" width="2" style="14" customWidth="1"/>
    <col min="3079" max="3079" width="16.5703125" style="14" bestFit="1" customWidth="1"/>
    <col min="3080" max="3080" width="13.85546875" style="14" bestFit="1" customWidth="1"/>
    <col min="3081" max="3081" width="18.7109375" style="14" bestFit="1" customWidth="1"/>
    <col min="3082" max="3082" width="14.140625" style="14" bestFit="1" customWidth="1"/>
    <col min="3083" max="3083" width="12" style="14" bestFit="1" customWidth="1"/>
    <col min="3084" max="3084" width="16.5703125" style="14" bestFit="1" customWidth="1"/>
    <col min="3085" max="3085" width="14.140625" style="14" bestFit="1" customWidth="1"/>
    <col min="3086" max="3086" width="16.5703125" style="14" bestFit="1" customWidth="1"/>
    <col min="3087" max="3087" width="1.85546875" style="14" customWidth="1"/>
    <col min="3088" max="3090" width="14.140625" style="14" bestFit="1" customWidth="1"/>
    <col min="3091" max="3091" width="9.5703125" style="14" customWidth="1"/>
    <col min="3092" max="3092" width="14.140625" style="14" bestFit="1" customWidth="1"/>
    <col min="3093" max="3093" width="11" style="14" bestFit="1" customWidth="1"/>
    <col min="3094" max="3094" width="11.42578125" style="14" customWidth="1"/>
    <col min="3095" max="3095" width="1.5703125" style="14" customWidth="1"/>
    <col min="3096" max="3096" width="16.5703125" style="14" bestFit="1" customWidth="1"/>
    <col min="3097" max="3097" width="1.5703125" style="14" customWidth="1"/>
    <col min="3098" max="3098" width="11.28515625" style="14" customWidth="1"/>
    <col min="3099" max="3099" width="0.85546875" style="14" customWidth="1"/>
    <col min="3100" max="3100" width="16.5703125" style="14" bestFit="1" customWidth="1"/>
    <col min="3101" max="3109" width="11.7109375" style="14" customWidth="1"/>
    <col min="3110" max="3328" width="17.28515625" style="14"/>
    <col min="3329" max="3329" width="4" style="14" customWidth="1"/>
    <col min="3330" max="3330" width="32.5703125" style="14" customWidth="1"/>
    <col min="3331" max="3331" width="10.7109375" style="14" bestFit="1" customWidth="1"/>
    <col min="3332" max="3332" width="20.85546875" style="14" customWidth="1"/>
    <col min="3333" max="3333" width="18" style="14" customWidth="1"/>
    <col min="3334" max="3334" width="2" style="14" customWidth="1"/>
    <col min="3335" max="3335" width="16.5703125" style="14" bestFit="1" customWidth="1"/>
    <col min="3336" max="3336" width="13.85546875" style="14" bestFit="1" customWidth="1"/>
    <col min="3337" max="3337" width="18.7109375" style="14" bestFit="1" customWidth="1"/>
    <col min="3338" max="3338" width="14.140625" style="14" bestFit="1" customWidth="1"/>
    <col min="3339" max="3339" width="12" style="14" bestFit="1" customWidth="1"/>
    <col min="3340" max="3340" width="16.5703125" style="14" bestFit="1" customWidth="1"/>
    <col min="3341" max="3341" width="14.140625" style="14" bestFit="1" customWidth="1"/>
    <col min="3342" max="3342" width="16.5703125" style="14" bestFit="1" customWidth="1"/>
    <col min="3343" max="3343" width="1.85546875" style="14" customWidth="1"/>
    <col min="3344" max="3346" width="14.140625" style="14" bestFit="1" customWidth="1"/>
    <col min="3347" max="3347" width="9.5703125" style="14" customWidth="1"/>
    <col min="3348" max="3348" width="14.140625" style="14" bestFit="1" customWidth="1"/>
    <col min="3349" max="3349" width="11" style="14" bestFit="1" customWidth="1"/>
    <col min="3350" max="3350" width="11.42578125" style="14" customWidth="1"/>
    <col min="3351" max="3351" width="1.5703125" style="14" customWidth="1"/>
    <col min="3352" max="3352" width="16.5703125" style="14" bestFit="1" customWidth="1"/>
    <col min="3353" max="3353" width="1.5703125" style="14" customWidth="1"/>
    <col min="3354" max="3354" width="11.28515625" style="14" customWidth="1"/>
    <col min="3355" max="3355" width="0.85546875" style="14" customWidth="1"/>
    <col min="3356" max="3356" width="16.5703125" style="14" bestFit="1" customWidth="1"/>
    <col min="3357" max="3365" width="11.7109375" style="14" customWidth="1"/>
    <col min="3366" max="3584" width="17.28515625" style="14"/>
    <col min="3585" max="3585" width="4" style="14" customWidth="1"/>
    <col min="3586" max="3586" width="32.5703125" style="14" customWidth="1"/>
    <col min="3587" max="3587" width="10.7109375" style="14" bestFit="1" customWidth="1"/>
    <col min="3588" max="3588" width="20.85546875" style="14" customWidth="1"/>
    <col min="3589" max="3589" width="18" style="14" customWidth="1"/>
    <col min="3590" max="3590" width="2" style="14" customWidth="1"/>
    <col min="3591" max="3591" width="16.5703125" style="14" bestFit="1" customWidth="1"/>
    <col min="3592" max="3592" width="13.85546875" style="14" bestFit="1" customWidth="1"/>
    <col min="3593" max="3593" width="18.7109375" style="14" bestFit="1" customWidth="1"/>
    <col min="3594" max="3594" width="14.140625" style="14" bestFit="1" customWidth="1"/>
    <col min="3595" max="3595" width="12" style="14" bestFit="1" customWidth="1"/>
    <col min="3596" max="3596" width="16.5703125" style="14" bestFit="1" customWidth="1"/>
    <col min="3597" max="3597" width="14.140625" style="14" bestFit="1" customWidth="1"/>
    <col min="3598" max="3598" width="16.5703125" style="14" bestFit="1" customWidth="1"/>
    <col min="3599" max="3599" width="1.85546875" style="14" customWidth="1"/>
    <col min="3600" max="3602" width="14.140625" style="14" bestFit="1" customWidth="1"/>
    <col min="3603" max="3603" width="9.5703125" style="14" customWidth="1"/>
    <col min="3604" max="3604" width="14.140625" style="14" bestFit="1" customWidth="1"/>
    <col min="3605" max="3605" width="11" style="14" bestFit="1" customWidth="1"/>
    <col min="3606" max="3606" width="11.42578125" style="14" customWidth="1"/>
    <col min="3607" max="3607" width="1.5703125" style="14" customWidth="1"/>
    <col min="3608" max="3608" width="16.5703125" style="14" bestFit="1" customWidth="1"/>
    <col min="3609" max="3609" width="1.5703125" style="14" customWidth="1"/>
    <col min="3610" max="3610" width="11.28515625" style="14" customWidth="1"/>
    <col min="3611" max="3611" width="0.85546875" style="14" customWidth="1"/>
    <col min="3612" max="3612" width="16.5703125" style="14" bestFit="1" customWidth="1"/>
    <col min="3613" max="3621" width="11.7109375" style="14" customWidth="1"/>
    <col min="3622" max="3840" width="17.28515625" style="14"/>
    <col min="3841" max="3841" width="4" style="14" customWidth="1"/>
    <col min="3842" max="3842" width="32.5703125" style="14" customWidth="1"/>
    <col min="3843" max="3843" width="10.7109375" style="14" bestFit="1" customWidth="1"/>
    <col min="3844" max="3844" width="20.85546875" style="14" customWidth="1"/>
    <col min="3845" max="3845" width="18" style="14" customWidth="1"/>
    <col min="3846" max="3846" width="2" style="14" customWidth="1"/>
    <col min="3847" max="3847" width="16.5703125" style="14" bestFit="1" customWidth="1"/>
    <col min="3848" max="3848" width="13.85546875" style="14" bestFit="1" customWidth="1"/>
    <col min="3849" max="3849" width="18.7109375" style="14" bestFit="1" customWidth="1"/>
    <col min="3850" max="3850" width="14.140625" style="14" bestFit="1" customWidth="1"/>
    <col min="3851" max="3851" width="12" style="14" bestFit="1" customWidth="1"/>
    <col min="3852" max="3852" width="16.5703125" style="14" bestFit="1" customWidth="1"/>
    <col min="3853" max="3853" width="14.140625" style="14" bestFit="1" customWidth="1"/>
    <col min="3854" max="3854" width="16.5703125" style="14" bestFit="1" customWidth="1"/>
    <col min="3855" max="3855" width="1.85546875" style="14" customWidth="1"/>
    <col min="3856" max="3858" width="14.140625" style="14" bestFit="1" customWidth="1"/>
    <col min="3859" max="3859" width="9.5703125" style="14" customWidth="1"/>
    <col min="3860" max="3860" width="14.140625" style="14" bestFit="1" customWidth="1"/>
    <col min="3861" max="3861" width="11" style="14" bestFit="1" customWidth="1"/>
    <col min="3862" max="3862" width="11.42578125" style="14" customWidth="1"/>
    <col min="3863" max="3863" width="1.5703125" style="14" customWidth="1"/>
    <col min="3864" max="3864" width="16.5703125" style="14" bestFit="1" customWidth="1"/>
    <col min="3865" max="3865" width="1.5703125" style="14" customWidth="1"/>
    <col min="3866" max="3866" width="11.28515625" style="14" customWidth="1"/>
    <col min="3867" max="3867" width="0.85546875" style="14" customWidth="1"/>
    <col min="3868" max="3868" width="16.5703125" style="14" bestFit="1" customWidth="1"/>
    <col min="3869" max="3877" width="11.7109375" style="14" customWidth="1"/>
    <col min="3878" max="4096" width="17.28515625" style="14"/>
    <col min="4097" max="4097" width="4" style="14" customWidth="1"/>
    <col min="4098" max="4098" width="32.5703125" style="14" customWidth="1"/>
    <col min="4099" max="4099" width="10.7109375" style="14" bestFit="1" customWidth="1"/>
    <col min="4100" max="4100" width="20.85546875" style="14" customWidth="1"/>
    <col min="4101" max="4101" width="18" style="14" customWidth="1"/>
    <col min="4102" max="4102" width="2" style="14" customWidth="1"/>
    <col min="4103" max="4103" width="16.5703125" style="14" bestFit="1" customWidth="1"/>
    <col min="4104" max="4104" width="13.85546875" style="14" bestFit="1" customWidth="1"/>
    <col min="4105" max="4105" width="18.7109375" style="14" bestFit="1" customWidth="1"/>
    <col min="4106" max="4106" width="14.140625" style="14" bestFit="1" customWidth="1"/>
    <col min="4107" max="4107" width="12" style="14" bestFit="1" customWidth="1"/>
    <col min="4108" max="4108" width="16.5703125" style="14" bestFit="1" customWidth="1"/>
    <col min="4109" max="4109" width="14.140625" style="14" bestFit="1" customWidth="1"/>
    <col min="4110" max="4110" width="16.5703125" style="14" bestFit="1" customWidth="1"/>
    <col min="4111" max="4111" width="1.85546875" style="14" customWidth="1"/>
    <col min="4112" max="4114" width="14.140625" style="14" bestFit="1" customWidth="1"/>
    <col min="4115" max="4115" width="9.5703125" style="14" customWidth="1"/>
    <col min="4116" max="4116" width="14.140625" style="14" bestFit="1" customWidth="1"/>
    <col min="4117" max="4117" width="11" style="14" bestFit="1" customWidth="1"/>
    <col min="4118" max="4118" width="11.42578125" style="14" customWidth="1"/>
    <col min="4119" max="4119" width="1.5703125" style="14" customWidth="1"/>
    <col min="4120" max="4120" width="16.5703125" style="14" bestFit="1" customWidth="1"/>
    <col min="4121" max="4121" width="1.5703125" style="14" customWidth="1"/>
    <col min="4122" max="4122" width="11.28515625" style="14" customWidth="1"/>
    <col min="4123" max="4123" width="0.85546875" style="14" customWidth="1"/>
    <col min="4124" max="4124" width="16.5703125" style="14" bestFit="1" customWidth="1"/>
    <col min="4125" max="4133" width="11.7109375" style="14" customWidth="1"/>
    <col min="4134" max="4352" width="17.28515625" style="14"/>
    <col min="4353" max="4353" width="4" style="14" customWidth="1"/>
    <col min="4354" max="4354" width="32.5703125" style="14" customWidth="1"/>
    <col min="4355" max="4355" width="10.7109375" style="14" bestFit="1" customWidth="1"/>
    <col min="4356" max="4356" width="20.85546875" style="14" customWidth="1"/>
    <col min="4357" max="4357" width="18" style="14" customWidth="1"/>
    <col min="4358" max="4358" width="2" style="14" customWidth="1"/>
    <col min="4359" max="4359" width="16.5703125" style="14" bestFit="1" customWidth="1"/>
    <col min="4360" max="4360" width="13.85546875" style="14" bestFit="1" customWidth="1"/>
    <col min="4361" max="4361" width="18.7109375" style="14" bestFit="1" customWidth="1"/>
    <col min="4362" max="4362" width="14.140625" style="14" bestFit="1" customWidth="1"/>
    <col min="4363" max="4363" width="12" style="14" bestFit="1" customWidth="1"/>
    <col min="4364" max="4364" width="16.5703125" style="14" bestFit="1" customWidth="1"/>
    <col min="4365" max="4365" width="14.140625" style="14" bestFit="1" customWidth="1"/>
    <col min="4366" max="4366" width="16.5703125" style="14" bestFit="1" customWidth="1"/>
    <col min="4367" max="4367" width="1.85546875" style="14" customWidth="1"/>
    <col min="4368" max="4370" width="14.140625" style="14" bestFit="1" customWidth="1"/>
    <col min="4371" max="4371" width="9.5703125" style="14" customWidth="1"/>
    <col min="4372" max="4372" width="14.140625" style="14" bestFit="1" customWidth="1"/>
    <col min="4373" max="4373" width="11" style="14" bestFit="1" customWidth="1"/>
    <col min="4374" max="4374" width="11.42578125" style="14" customWidth="1"/>
    <col min="4375" max="4375" width="1.5703125" style="14" customWidth="1"/>
    <col min="4376" max="4376" width="16.5703125" style="14" bestFit="1" customWidth="1"/>
    <col min="4377" max="4377" width="1.5703125" style="14" customWidth="1"/>
    <col min="4378" max="4378" width="11.28515625" style="14" customWidth="1"/>
    <col min="4379" max="4379" width="0.85546875" style="14" customWidth="1"/>
    <col min="4380" max="4380" width="16.5703125" style="14" bestFit="1" customWidth="1"/>
    <col min="4381" max="4389" width="11.7109375" style="14" customWidth="1"/>
    <col min="4390" max="4608" width="17.28515625" style="14"/>
    <col min="4609" max="4609" width="4" style="14" customWidth="1"/>
    <col min="4610" max="4610" width="32.5703125" style="14" customWidth="1"/>
    <col min="4611" max="4611" width="10.7109375" style="14" bestFit="1" customWidth="1"/>
    <col min="4612" max="4612" width="20.85546875" style="14" customWidth="1"/>
    <col min="4613" max="4613" width="18" style="14" customWidth="1"/>
    <col min="4614" max="4614" width="2" style="14" customWidth="1"/>
    <col min="4615" max="4615" width="16.5703125" style="14" bestFit="1" customWidth="1"/>
    <col min="4616" max="4616" width="13.85546875" style="14" bestFit="1" customWidth="1"/>
    <col min="4617" max="4617" width="18.7109375" style="14" bestFit="1" customWidth="1"/>
    <col min="4618" max="4618" width="14.140625" style="14" bestFit="1" customWidth="1"/>
    <col min="4619" max="4619" width="12" style="14" bestFit="1" customWidth="1"/>
    <col min="4620" max="4620" width="16.5703125" style="14" bestFit="1" customWidth="1"/>
    <col min="4621" max="4621" width="14.140625" style="14" bestFit="1" customWidth="1"/>
    <col min="4622" max="4622" width="16.5703125" style="14" bestFit="1" customWidth="1"/>
    <col min="4623" max="4623" width="1.85546875" style="14" customWidth="1"/>
    <col min="4624" max="4626" width="14.140625" style="14" bestFit="1" customWidth="1"/>
    <col min="4627" max="4627" width="9.5703125" style="14" customWidth="1"/>
    <col min="4628" max="4628" width="14.140625" style="14" bestFit="1" customWidth="1"/>
    <col min="4629" max="4629" width="11" style="14" bestFit="1" customWidth="1"/>
    <col min="4630" max="4630" width="11.42578125" style="14" customWidth="1"/>
    <col min="4631" max="4631" width="1.5703125" style="14" customWidth="1"/>
    <col min="4632" max="4632" width="16.5703125" style="14" bestFit="1" customWidth="1"/>
    <col min="4633" max="4633" width="1.5703125" style="14" customWidth="1"/>
    <col min="4634" max="4634" width="11.28515625" style="14" customWidth="1"/>
    <col min="4635" max="4635" width="0.85546875" style="14" customWidth="1"/>
    <col min="4636" max="4636" width="16.5703125" style="14" bestFit="1" customWidth="1"/>
    <col min="4637" max="4645" width="11.7109375" style="14" customWidth="1"/>
    <col min="4646" max="4864" width="17.28515625" style="14"/>
    <col min="4865" max="4865" width="4" style="14" customWidth="1"/>
    <col min="4866" max="4866" width="32.5703125" style="14" customWidth="1"/>
    <col min="4867" max="4867" width="10.7109375" style="14" bestFit="1" customWidth="1"/>
    <col min="4868" max="4868" width="20.85546875" style="14" customWidth="1"/>
    <col min="4869" max="4869" width="18" style="14" customWidth="1"/>
    <col min="4870" max="4870" width="2" style="14" customWidth="1"/>
    <col min="4871" max="4871" width="16.5703125" style="14" bestFit="1" customWidth="1"/>
    <col min="4872" max="4872" width="13.85546875" style="14" bestFit="1" customWidth="1"/>
    <col min="4873" max="4873" width="18.7109375" style="14" bestFit="1" customWidth="1"/>
    <col min="4874" max="4874" width="14.140625" style="14" bestFit="1" customWidth="1"/>
    <col min="4875" max="4875" width="12" style="14" bestFit="1" customWidth="1"/>
    <col min="4876" max="4876" width="16.5703125" style="14" bestFit="1" customWidth="1"/>
    <col min="4877" max="4877" width="14.140625" style="14" bestFit="1" customWidth="1"/>
    <col min="4878" max="4878" width="16.5703125" style="14" bestFit="1" customWidth="1"/>
    <col min="4879" max="4879" width="1.85546875" style="14" customWidth="1"/>
    <col min="4880" max="4882" width="14.140625" style="14" bestFit="1" customWidth="1"/>
    <col min="4883" max="4883" width="9.5703125" style="14" customWidth="1"/>
    <col min="4884" max="4884" width="14.140625" style="14" bestFit="1" customWidth="1"/>
    <col min="4885" max="4885" width="11" style="14" bestFit="1" customWidth="1"/>
    <col min="4886" max="4886" width="11.42578125" style="14" customWidth="1"/>
    <col min="4887" max="4887" width="1.5703125" style="14" customWidth="1"/>
    <col min="4888" max="4888" width="16.5703125" style="14" bestFit="1" customWidth="1"/>
    <col min="4889" max="4889" width="1.5703125" style="14" customWidth="1"/>
    <col min="4890" max="4890" width="11.28515625" style="14" customWidth="1"/>
    <col min="4891" max="4891" width="0.85546875" style="14" customWidth="1"/>
    <col min="4892" max="4892" width="16.5703125" style="14" bestFit="1" customWidth="1"/>
    <col min="4893" max="4901" width="11.7109375" style="14" customWidth="1"/>
    <col min="4902" max="5120" width="17.28515625" style="14"/>
    <col min="5121" max="5121" width="4" style="14" customWidth="1"/>
    <col min="5122" max="5122" width="32.5703125" style="14" customWidth="1"/>
    <col min="5123" max="5123" width="10.7109375" style="14" bestFit="1" customWidth="1"/>
    <col min="5124" max="5124" width="20.85546875" style="14" customWidth="1"/>
    <col min="5125" max="5125" width="18" style="14" customWidth="1"/>
    <col min="5126" max="5126" width="2" style="14" customWidth="1"/>
    <col min="5127" max="5127" width="16.5703125" style="14" bestFit="1" customWidth="1"/>
    <col min="5128" max="5128" width="13.85546875" style="14" bestFit="1" customWidth="1"/>
    <col min="5129" max="5129" width="18.7109375" style="14" bestFit="1" customWidth="1"/>
    <col min="5130" max="5130" width="14.140625" style="14" bestFit="1" customWidth="1"/>
    <col min="5131" max="5131" width="12" style="14" bestFit="1" customWidth="1"/>
    <col min="5132" max="5132" width="16.5703125" style="14" bestFit="1" customWidth="1"/>
    <col min="5133" max="5133" width="14.140625" style="14" bestFit="1" customWidth="1"/>
    <col min="5134" max="5134" width="16.5703125" style="14" bestFit="1" customWidth="1"/>
    <col min="5135" max="5135" width="1.85546875" style="14" customWidth="1"/>
    <col min="5136" max="5138" width="14.140625" style="14" bestFit="1" customWidth="1"/>
    <col min="5139" max="5139" width="9.5703125" style="14" customWidth="1"/>
    <col min="5140" max="5140" width="14.140625" style="14" bestFit="1" customWidth="1"/>
    <col min="5141" max="5141" width="11" style="14" bestFit="1" customWidth="1"/>
    <col min="5142" max="5142" width="11.42578125" style="14" customWidth="1"/>
    <col min="5143" max="5143" width="1.5703125" style="14" customWidth="1"/>
    <col min="5144" max="5144" width="16.5703125" style="14" bestFit="1" customWidth="1"/>
    <col min="5145" max="5145" width="1.5703125" style="14" customWidth="1"/>
    <col min="5146" max="5146" width="11.28515625" style="14" customWidth="1"/>
    <col min="5147" max="5147" width="0.85546875" style="14" customWidth="1"/>
    <col min="5148" max="5148" width="16.5703125" style="14" bestFit="1" customWidth="1"/>
    <col min="5149" max="5157" width="11.7109375" style="14" customWidth="1"/>
    <col min="5158" max="5376" width="17.28515625" style="14"/>
    <col min="5377" max="5377" width="4" style="14" customWidth="1"/>
    <col min="5378" max="5378" width="32.5703125" style="14" customWidth="1"/>
    <col min="5379" max="5379" width="10.7109375" style="14" bestFit="1" customWidth="1"/>
    <col min="5380" max="5380" width="20.85546875" style="14" customWidth="1"/>
    <col min="5381" max="5381" width="18" style="14" customWidth="1"/>
    <col min="5382" max="5382" width="2" style="14" customWidth="1"/>
    <col min="5383" max="5383" width="16.5703125" style="14" bestFit="1" customWidth="1"/>
    <col min="5384" max="5384" width="13.85546875" style="14" bestFit="1" customWidth="1"/>
    <col min="5385" max="5385" width="18.7109375" style="14" bestFit="1" customWidth="1"/>
    <col min="5386" max="5386" width="14.140625" style="14" bestFit="1" customWidth="1"/>
    <col min="5387" max="5387" width="12" style="14" bestFit="1" customWidth="1"/>
    <col min="5388" max="5388" width="16.5703125" style="14" bestFit="1" customWidth="1"/>
    <col min="5389" max="5389" width="14.140625" style="14" bestFit="1" customWidth="1"/>
    <col min="5390" max="5390" width="16.5703125" style="14" bestFit="1" customWidth="1"/>
    <col min="5391" max="5391" width="1.85546875" style="14" customWidth="1"/>
    <col min="5392" max="5394" width="14.140625" style="14" bestFit="1" customWidth="1"/>
    <col min="5395" max="5395" width="9.5703125" style="14" customWidth="1"/>
    <col min="5396" max="5396" width="14.140625" style="14" bestFit="1" customWidth="1"/>
    <col min="5397" max="5397" width="11" style="14" bestFit="1" customWidth="1"/>
    <col min="5398" max="5398" width="11.42578125" style="14" customWidth="1"/>
    <col min="5399" max="5399" width="1.5703125" style="14" customWidth="1"/>
    <col min="5400" max="5400" width="16.5703125" style="14" bestFit="1" customWidth="1"/>
    <col min="5401" max="5401" width="1.5703125" style="14" customWidth="1"/>
    <col min="5402" max="5402" width="11.28515625" style="14" customWidth="1"/>
    <col min="5403" max="5403" width="0.85546875" style="14" customWidth="1"/>
    <col min="5404" max="5404" width="16.5703125" style="14" bestFit="1" customWidth="1"/>
    <col min="5405" max="5413" width="11.7109375" style="14" customWidth="1"/>
    <col min="5414" max="5632" width="17.28515625" style="14"/>
    <col min="5633" max="5633" width="4" style="14" customWidth="1"/>
    <col min="5634" max="5634" width="32.5703125" style="14" customWidth="1"/>
    <col min="5635" max="5635" width="10.7109375" style="14" bestFit="1" customWidth="1"/>
    <col min="5636" max="5636" width="20.85546875" style="14" customWidth="1"/>
    <col min="5637" max="5637" width="18" style="14" customWidth="1"/>
    <col min="5638" max="5638" width="2" style="14" customWidth="1"/>
    <col min="5639" max="5639" width="16.5703125" style="14" bestFit="1" customWidth="1"/>
    <col min="5640" max="5640" width="13.85546875" style="14" bestFit="1" customWidth="1"/>
    <col min="5641" max="5641" width="18.7109375" style="14" bestFit="1" customWidth="1"/>
    <col min="5642" max="5642" width="14.140625" style="14" bestFit="1" customWidth="1"/>
    <col min="5643" max="5643" width="12" style="14" bestFit="1" customWidth="1"/>
    <col min="5644" max="5644" width="16.5703125" style="14" bestFit="1" customWidth="1"/>
    <col min="5645" max="5645" width="14.140625" style="14" bestFit="1" customWidth="1"/>
    <col min="5646" max="5646" width="16.5703125" style="14" bestFit="1" customWidth="1"/>
    <col min="5647" max="5647" width="1.85546875" style="14" customWidth="1"/>
    <col min="5648" max="5650" width="14.140625" style="14" bestFit="1" customWidth="1"/>
    <col min="5651" max="5651" width="9.5703125" style="14" customWidth="1"/>
    <col min="5652" max="5652" width="14.140625" style="14" bestFit="1" customWidth="1"/>
    <col min="5653" max="5653" width="11" style="14" bestFit="1" customWidth="1"/>
    <col min="5654" max="5654" width="11.42578125" style="14" customWidth="1"/>
    <col min="5655" max="5655" width="1.5703125" style="14" customWidth="1"/>
    <col min="5656" max="5656" width="16.5703125" style="14" bestFit="1" customWidth="1"/>
    <col min="5657" max="5657" width="1.5703125" style="14" customWidth="1"/>
    <col min="5658" max="5658" width="11.28515625" style="14" customWidth="1"/>
    <col min="5659" max="5659" width="0.85546875" style="14" customWidth="1"/>
    <col min="5660" max="5660" width="16.5703125" style="14" bestFit="1" customWidth="1"/>
    <col min="5661" max="5669" width="11.7109375" style="14" customWidth="1"/>
    <col min="5670" max="5888" width="17.28515625" style="14"/>
    <col min="5889" max="5889" width="4" style="14" customWidth="1"/>
    <col min="5890" max="5890" width="32.5703125" style="14" customWidth="1"/>
    <col min="5891" max="5891" width="10.7109375" style="14" bestFit="1" customWidth="1"/>
    <col min="5892" max="5892" width="20.85546875" style="14" customWidth="1"/>
    <col min="5893" max="5893" width="18" style="14" customWidth="1"/>
    <col min="5894" max="5894" width="2" style="14" customWidth="1"/>
    <col min="5895" max="5895" width="16.5703125" style="14" bestFit="1" customWidth="1"/>
    <col min="5896" max="5896" width="13.85546875" style="14" bestFit="1" customWidth="1"/>
    <col min="5897" max="5897" width="18.7109375" style="14" bestFit="1" customWidth="1"/>
    <col min="5898" max="5898" width="14.140625" style="14" bestFit="1" customWidth="1"/>
    <col min="5899" max="5899" width="12" style="14" bestFit="1" customWidth="1"/>
    <col min="5900" max="5900" width="16.5703125" style="14" bestFit="1" customWidth="1"/>
    <col min="5901" max="5901" width="14.140625" style="14" bestFit="1" customWidth="1"/>
    <col min="5902" max="5902" width="16.5703125" style="14" bestFit="1" customWidth="1"/>
    <col min="5903" max="5903" width="1.85546875" style="14" customWidth="1"/>
    <col min="5904" max="5906" width="14.140625" style="14" bestFit="1" customWidth="1"/>
    <col min="5907" max="5907" width="9.5703125" style="14" customWidth="1"/>
    <col min="5908" max="5908" width="14.140625" style="14" bestFit="1" customWidth="1"/>
    <col min="5909" max="5909" width="11" style="14" bestFit="1" customWidth="1"/>
    <col min="5910" max="5910" width="11.42578125" style="14" customWidth="1"/>
    <col min="5911" max="5911" width="1.5703125" style="14" customWidth="1"/>
    <col min="5912" max="5912" width="16.5703125" style="14" bestFit="1" customWidth="1"/>
    <col min="5913" max="5913" width="1.5703125" style="14" customWidth="1"/>
    <col min="5914" max="5914" width="11.28515625" style="14" customWidth="1"/>
    <col min="5915" max="5915" width="0.85546875" style="14" customWidth="1"/>
    <col min="5916" max="5916" width="16.5703125" style="14" bestFit="1" customWidth="1"/>
    <col min="5917" max="5925" width="11.7109375" style="14" customWidth="1"/>
    <col min="5926" max="6144" width="17.28515625" style="14"/>
    <col min="6145" max="6145" width="4" style="14" customWidth="1"/>
    <col min="6146" max="6146" width="32.5703125" style="14" customWidth="1"/>
    <col min="6147" max="6147" width="10.7109375" style="14" bestFit="1" customWidth="1"/>
    <col min="6148" max="6148" width="20.85546875" style="14" customWidth="1"/>
    <col min="6149" max="6149" width="18" style="14" customWidth="1"/>
    <col min="6150" max="6150" width="2" style="14" customWidth="1"/>
    <col min="6151" max="6151" width="16.5703125" style="14" bestFit="1" customWidth="1"/>
    <col min="6152" max="6152" width="13.85546875" style="14" bestFit="1" customWidth="1"/>
    <col min="6153" max="6153" width="18.7109375" style="14" bestFit="1" customWidth="1"/>
    <col min="6154" max="6154" width="14.140625" style="14" bestFit="1" customWidth="1"/>
    <col min="6155" max="6155" width="12" style="14" bestFit="1" customWidth="1"/>
    <col min="6156" max="6156" width="16.5703125" style="14" bestFit="1" customWidth="1"/>
    <col min="6157" max="6157" width="14.140625" style="14" bestFit="1" customWidth="1"/>
    <col min="6158" max="6158" width="16.5703125" style="14" bestFit="1" customWidth="1"/>
    <col min="6159" max="6159" width="1.85546875" style="14" customWidth="1"/>
    <col min="6160" max="6162" width="14.140625" style="14" bestFit="1" customWidth="1"/>
    <col min="6163" max="6163" width="9.5703125" style="14" customWidth="1"/>
    <col min="6164" max="6164" width="14.140625" style="14" bestFit="1" customWidth="1"/>
    <col min="6165" max="6165" width="11" style="14" bestFit="1" customWidth="1"/>
    <col min="6166" max="6166" width="11.42578125" style="14" customWidth="1"/>
    <col min="6167" max="6167" width="1.5703125" style="14" customWidth="1"/>
    <col min="6168" max="6168" width="16.5703125" style="14" bestFit="1" customWidth="1"/>
    <col min="6169" max="6169" width="1.5703125" style="14" customWidth="1"/>
    <col min="6170" max="6170" width="11.28515625" style="14" customWidth="1"/>
    <col min="6171" max="6171" width="0.85546875" style="14" customWidth="1"/>
    <col min="6172" max="6172" width="16.5703125" style="14" bestFit="1" customWidth="1"/>
    <col min="6173" max="6181" width="11.7109375" style="14" customWidth="1"/>
    <col min="6182" max="6400" width="17.28515625" style="14"/>
    <col min="6401" max="6401" width="4" style="14" customWidth="1"/>
    <col min="6402" max="6402" width="32.5703125" style="14" customWidth="1"/>
    <col min="6403" max="6403" width="10.7109375" style="14" bestFit="1" customWidth="1"/>
    <col min="6404" max="6404" width="20.85546875" style="14" customWidth="1"/>
    <col min="6405" max="6405" width="18" style="14" customWidth="1"/>
    <col min="6406" max="6406" width="2" style="14" customWidth="1"/>
    <col min="6407" max="6407" width="16.5703125" style="14" bestFit="1" customWidth="1"/>
    <col min="6408" max="6408" width="13.85546875" style="14" bestFit="1" customWidth="1"/>
    <col min="6409" max="6409" width="18.7109375" style="14" bestFit="1" customWidth="1"/>
    <col min="6410" max="6410" width="14.140625" style="14" bestFit="1" customWidth="1"/>
    <col min="6411" max="6411" width="12" style="14" bestFit="1" customWidth="1"/>
    <col min="6412" max="6412" width="16.5703125" style="14" bestFit="1" customWidth="1"/>
    <col min="6413" max="6413" width="14.140625" style="14" bestFit="1" customWidth="1"/>
    <col min="6414" max="6414" width="16.5703125" style="14" bestFit="1" customWidth="1"/>
    <col min="6415" max="6415" width="1.85546875" style="14" customWidth="1"/>
    <col min="6416" max="6418" width="14.140625" style="14" bestFit="1" customWidth="1"/>
    <col min="6419" max="6419" width="9.5703125" style="14" customWidth="1"/>
    <col min="6420" max="6420" width="14.140625" style="14" bestFit="1" customWidth="1"/>
    <col min="6421" max="6421" width="11" style="14" bestFit="1" customWidth="1"/>
    <col min="6422" max="6422" width="11.42578125" style="14" customWidth="1"/>
    <col min="6423" max="6423" width="1.5703125" style="14" customWidth="1"/>
    <col min="6424" max="6424" width="16.5703125" style="14" bestFit="1" customWidth="1"/>
    <col min="6425" max="6425" width="1.5703125" style="14" customWidth="1"/>
    <col min="6426" max="6426" width="11.28515625" style="14" customWidth="1"/>
    <col min="6427" max="6427" width="0.85546875" style="14" customWidth="1"/>
    <col min="6428" max="6428" width="16.5703125" style="14" bestFit="1" customWidth="1"/>
    <col min="6429" max="6437" width="11.7109375" style="14" customWidth="1"/>
    <col min="6438" max="6656" width="17.28515625" style="14"/>
    <col min="6657" max="6657" width="4" style="14" customWidth="1"/>
    <col min="6658" max="6658" width="32.5703125" style="14" customWidth="1"/>
    <col min="6659" max="6659" width="10.7109375" style="14" bestFit="1" customWidth="1"/>
    <col min="6660" max="6660" width="20.85546875" style="14" customWidth="1"/>
    <col min="6661" max="6661" width="18" style="14" customWidth="1"/>
    <col min="6662" max="6662" width="2" style="14" customWidth="1"/>
    <col min="6663" max="6663" width="16.5703125" style="14" bestFit="1" customWidth="1"/>
    <col min="6664" max="6664" width="13.85546875" style="14" bestFit="1" customWidth="1"/>
    <col min="6665" max="6665" width="18.7109375" style="14" bestFit="1" customWidth="1"/>
    <col min="6666" max="6666" width="14.140625" style="14" bestFit="1" customWidth="1"/>
    <col min="6667" max="6667" width="12" style="14" bestFit="1" customWidth="1"/>
    <col min="6668" max="6668" width="16.5703125" style="14" bestFit="1" customWidth="1"/>
    <col min="6669" max="6669" width="14.140625" style="14" bestFit="1" customWidth="1"/>
    <col min="6670" max="6670" width="16.5703125" style="14" bestFit="1" customWidth="1"/>
    <col min="6671" max="6671" width="1.85546875" style="14" customWidth="1"/>
    <col min="6672" max="6674" width="14.140625" style="14" bestFit="1" customWidth="1"/>
    <col min="6675" max="6675" width="9.5703125" style="14" customWidth="1"/>
    <col min="6676" max="6676" width="14.140625" style="14" bestFit="1" customWidth="1"/>
    <col min="6677" max="6677" width="11" style="14" bestFit="1" customWidth="1"/>
    <col min="6678" max="6678" width="11.42578125" style="14" customWidth="1"/>
    <col min="6679" max="6679" width="1.5703125" style="14" customWidth="1"/>
    <col min="6680" max="6680" width="16.5703125" style="14" bestFit="1" customWidth="1"/>
    <col min="6681" max="6681" width="1.5703125" style="14" customWidth="1"/>
    <col min="6682" max="6682" width="11.28515625" style="14" customWidth="1"/>
    <col min="6683" max="6683" width="0.85546875" style="14" customWidth="1"/>
    <col min="6684" max="6684" width="16.5703125" style="14" bestFit="1" customWidth="1"/>
    <col min="6685" max="6693" width="11.7109375" style="14" customWidth="1"/>
    <col min="6694" max="6912" width="17.28515625" style="14"/>
    <col min="6913" max="6913" width="4" style="14" customWidth="1"/>
    <col min="6914" max="6914" width="32.5703125" style="14" customWidth="1"/>
    <col min="6915" max="6915" width="10.7109375" style="14" bestFit="1" customWidth="1"/>
    <col min="6916" max="6916" width="20.85546875" style="14" customWidth="1"/>
    <col min="6917" max="6917" width="18" style="14" customWidth="1"/>
    <col min="6918" max="6918" width="2" style="14" customWidth="1"/>
    <col min="6919" max="6919" width="16.5703125" style="14" bestFit="1" customWidth="1"/>
    <col min="6920" max="6920" width="13.85546875" style="14" bestFit="1" customWidth="1"/>
    <col min="6921" max="6921" width="18.7109375" style="14" bestFit="1" customWidth="1"/>
    <col min="6922" max="6922" width="14.140625" style="14" bestFit="1" customWidth="1"/>
    <col min="6923" max="6923" width="12" style="14" bestFit="1" customWidth="1"/>
    <col min="6924" max="6924" width="16.5703125" style="14" bestFit="1" customWidth="1"/>
    <col min="6925" max="6925" width="14.140625" style="14" bestFit="1" customWidth="1"/>
    <col min="6926" max="6926" width="16.5703125" style="14" bestFit="1" customWidth="1"/>
    <col min="6927" max="6927" width="1.85546875" style="14" customWidth="1"/>
    <col min="6928" max="6930" width="14.140625" style="14" bestFit="1" customWidth="1"/>
    <col min="6931" max="6931" width="9.5703125" style="14" customWidth="1"/>
    <col min="6932" max="6932" width="14.140625" style="14" bestFit="1" customWidth="1"/>
    <col min="6933" max="6933" width="11" style="14" bestFit="1" customWidth="1"/>
    <col min="6934" max="6934" width="11.42578125" style="14" customWidth="1"/>
    <col min="6935" max="6935" width="1.5703125" style="14" customWidth="1"/>
    <col min="6936" max="6936" width="16.5703125" style="14" bestFit="1" customWidth="1"/>
    <col min="6937" max="6937" width="1.5703125" style="14" customWidth="1"/>
    <col min="6938" max="6938" width="11.28515625" style="14" customWidth="1"/>
    <col min="6939" max="6939" width="0.85546875" style="14" customWidth="1"/>
    <col min="6940" max="6940" width="16.5703125" style="14" bestFit="1" customWidth="1"/>
    <col min="6941" max="6949" width="11.7109375" style="14" customWidth="1"/>
    <col min="6950" max="7168" width="17.28515625" style="14"/>
    <col min="7169" max="7169" width="4" style="14" customWidth="1"/>
    <col min="7170" max="7170" width="32.5703125" style="14" customWidth="1"/>
    <col min="7171" max="7171" width="10.7109375" style="14" bestFit="1" customWidth="1"/>
    <col min="7172" max="7172" width="20.85546875" style="14" customWidth="1"/>
    <col min="7173" max="7173" width="18" style="14" customWidth="1"/>
    <col min="7174" max="7174" width="2" style="14" customWidth="1"/>
    <col min="7175" max="7175" width="16.5703125" style="14" bestFit="1" customWidth="1"/>
    <col min="7176" max="7176" width="13.85546875" style="14" bestFit="1" customWidth="1"/>
    <col min="7177" max="7177" width="18.7109375" style="14" bestFit="1" customWidth="1"/>
    <col min="7178" max="7178" width="14.140625" style="14" bestFit="1" customWidth="1"/>
    <col min="7179" max="7179" width="12" style="14" bestFit="1" customWidth="1"/>
    <col min="7180" max="7180" width="16.5703125" style="14" bestFit="1" customWidth="1"/>
    <col min="7181" max="7181" width="14.140625" style="14" bestFit="1" customWidth="1"/>
    <col min="7182" max="7182" width="16.5703125" style="14" bestFit="1" customWidth="1"/>
    <col min="7183" max="7183" width="1.85546875" style="14" customWidth="1"/>
    <col min="7184" max="7186" width="14.140625" style="14" bestFit="1" customWidth="1"/>
    <col min="7187" max="7187" width="9.5703125" style="14" customWidth="1"/>
    <col min="7188" max="7188" width="14.140625" style="14" bestFit="1" customWidth="1"/>
    <col min="7189" max="7189" width="11" style="14" bestFit="1" customWidth="1"/>
    <col min="7190" max="7190" width="11.42578125" style="14" customWidth="1"/>
    <col min="7191" max="7191" width="1.5703125" style="14" customWidth="1"/>
    <col min="7192" max="7192" width="16.5703125" style="14" bestFit="1" customWidth="1"/>
    <col min="7193" max="7193" width="1.5703125" style="14" customWidth="1"/>
    <col min="7194" max="7194" width="11.28515625" style="14" customWidth="1"/>
    <col min="7195" max="7195" width="0.85546875" style="14" customWidth="1"/>
    <col min="7196" max="7196" width="16.5703125" style="14" bestFit="1" customWidth="1"/>
    <col min="7197" max="7205" width="11.7109375" style="14" customWidth="1"/>
    <col min="7206" max="7424" width="17.28515625" style="14"/>
    <col min="7425" max="7425" width="4" style="14" customWidth="1"/>
    <col min="7426" max="7426" width="32.5703125" style="14" customWidth="1"/>
    <col min="7427" max="7427" width="10.7109375" style="14" bestFit="1" customWidth="1"/>
    <col min="7428" max="7428" width="20.85546875" style="14" customWidth="1"/>
    <col min="7429" max="7429" width="18" style="14" customWidth="1"/>
    <col min="7430" max="7430" width="2" style="14" customWidth="1"/>
    <col min="7431" max="7431" width="16.5703125" style="14" bestFit="1" customWidth="1"/>
    <col min="7432" max="7432" width="13.85546875" style="14" bestFit="1" customWidth="1"/>
    <col min="7433" max="7433" width="18.7109375" style="14" bestFit="1" customWidth="1"/>
    <col min="7434" max="7434" width="14.140625" style="14" bestFit="1" customWidth="1"/>
    <col min="7435" max="7435" width="12" style="14" bestFit="1" customWidth="1"/>
    <col min="7436" max="7436" width="16.5703125" style="14" bestFit="1" customWidth="1"/>
    <col min="7437" max="7437" width="14.140625" style="14" bestFit="1" customWidth="1"/>
    <col min="7438" max="7438" width="16.5703125" style="14" bestFit="1" customWidth="1"/>
    <col min="7439" max="7439" width="1.85546875" style="14" customWidth="1"/>
    <col min="7440" max="7442" width="14.140625" style="14" bestFit="1" customWidth="1"/>
    <col min="7443" max="7443" width="9.5703125" style="14" customWidth="1"/>
    <col min="7444" max="7444" width="14.140625" style="14" bestFit="1" customWidth="1"/>
    <col min="7445" max="7445" width="11" style="14" bestFit="1" customWidth="1"/>
    <col min="7446" max="7446" width="11.42578125" style="14" customWidth="1"/>
    <col min="7447" max="7447" width="1.5703125" style="14" customWidth="1"/>
    <col min="7448" max="7448" width="16.5703125" style="14" bestFit="1" customWidth="1"/>
    <col min="7449" max="7449" width="1.5703125" style="14" customWidth="1"/>
    <col min="7450" max="7450" width="11.28515625" style="14" customWidth="1"/>
    <col min="7451" max="7451" width="0.85546875" style="14" customWidth="1"/>
    <col min="7452" max="7452" width="16.5703125" style="14" bestFit="1" customWidth="1"/>
    <col min="7453" max="7461" width="11.7109375" style="14" customWidth="1"/>
    <col min="7462" max="7680" width="17.28515625" style="14"/>
    <col min="7681" max="7681" width="4" style="14" customWidth="1"/>
    <col min="7682" max="7682" width="32.5703125" style="14" customWidth="1"/>
    <col min="7683" max="7683" width="10.7109375" style="14" bestFit="1" customWidth="1"/>
    <col min="7684" max="7684" width="20.85546875" style="14" customWidth="1"/>
    <col min="7685" max="7685" width="18" style="14" customWidth="1"/>
    <col min="7686" max="7686" width="2" style="14" customWidth="1"/>
    <col min="7687" max="7687" width="16.5703125" style="14" bestFit="1" customWidth="1"/>
    <col min="7688" max="7688" width="13.85546875" style="14" bestFit="1" customWidth="1"/>
    <col min="7689" max="7689" width="18.7109375" style="14" bestFit="1" customWidth="1"/>
    <col min="7690" max="7690" width="14.140625" style="14" bestFit="1" customWidth="1"/>
    <col min="7691" max="7691" width="12" style="14" bestFit="1" customWidth="1"/>
    <col min="7692" max="7692" width="16.5703125" style="14" bestFit="1" customWidth="1"/>
    <col min="7693" max="7693" width="14.140625" style="14" bestFit="1" customWidth="1"/>
    <col min="7694" max="7694" width="16.5703125" style="14" bestFit="1" customWidth="1"/>
    <col min="7695" max="7695" width="1.85546875" style="14" customWidth="1"/>
    <col min="7696" max="7698" width="14.140625" style="14" bestFit="1" customWidth="1"/>
    <col min="7699" max="7699" width="9.5703125" style="14" customWidth="1"/>
    <col min="7700" max="7700" width="14.140625" style="14" bestFit="1" customWidth="1"/>
    <col min="7701" max="7701" width="11" style="14" bestFit="1" customWidth="1"/>
    <col min="7702" max="7702" width="11.42578125" style="14" customWidth="1"/>
    <col min="7703" max="7703" width="1.5703125" style="14" customWidth="1"/>
    <col min="7704" max="7704" width="16.5703125" style="14" bestFit="1" customWidth="1"/>
    <col min="7705" max="7705" width="1.5703125" style="14" customWidth="1"/>
    <col min="7706" max="7706" width="11.28515625" style="14" customWidth="1"/>
    <col min="7707" max="7707" width="0.85546875" style="14" customWidth="1"/>
    <col min="7708" max="7708" width="16.5703125" style="14" bestFit="1" customWidth="1"/>
    <col min="7709" max="7717" width="11.7109375" style="14" customWidth="1"/>
    <col min="7718" max="7936" width="17.28515625" style="14"/>
    <col min="7937" max="7937" width="4" style="14" customWidth="1"/>
    <col min="7938" max="7938" width="32.5703125" style="14" customWidth="1"/>
    <col min="7939" max="7939" width="10.7109375" style="14" bestFit="1" customWidth="1"/>
    <col min="7940" max="7940" width="20.85546875" style="14" customWidth="1"/>
    <col min="7941" max="7941" width="18" style="14" customWidth="1"/>
    <col min="7942" max="7942" width="2" style="14" customWidth="1"/>
    <col min="7943" max="7943" width="16.5703125" style="14" bestFit="1" customWidth="1"/>
    <col min="7944" max="7944" width="13.85546875" style="14" bestFit="1" customWidth="1"/>
    <col min="7945" max="7945" width="18.7109375" style="14" bestFit="1" customWidth="1"/>
    <col min="7946" max="7946" width="14.140625" style="14" bestFit="1" customWidth="1"/>
    <col min="7947" max="7947" width="12" style="14" bestFit="1" customWidth="1"/>
    <col min="7948" max="7948" width="16.5703125" style="14" bestFit="1" customWidth="1"/>
    <col min="7949" max="7949" width="14.140625" style="14" bestFit="1" customWidth="1"/>
    <col min="7950" max="7950" width="16.5703125" style="14" bestFit="1" customWidth="1"/>
    <col min="7951" max="7951" width="1.85546875" style="14" customWidth="1"/>
    <col min="7952" max="7954" width="14.140625" style="14" bestFit="1" customWidth="1"/>
    <col min="7955" max="7955" width="9.5703125" style="14" customWidth="1"/>
    <col min="7956" max="7956" width="14.140625" style="14" bestFit="1" customWidth="1"/>
    <col min="7957" max="7957" width="11" style="14" bestFit="1" customWidth="1"/>
    <col min="7958" max="7958" width="11.42578125" style="14" customWidth="1"/>
    <col min="7959" max="7959" width="1.5703125" style="14" customWidth="1"/>
    <col min="7960" max="7960" width="16.5703125" style="14" bestFit="1" customWidth="1"/>
    <col min="7961" max="7961" width="1.5703125" style="14" customWidth="1"/>
    <col min="7962" max="7962" width="11.28515625" style="14" customWidth="1"/>
    <col min="7963" max="7963" width="0.85546875" style="14" customWidth="1"/>
    <col min="7964" max="7964" width="16.5703125" style="14" bestFit="1" customWidth="1"/>
    <col min="7965" max="7973" width="11.7109375" style="14" customWidth="1"/>
    <col min="7974" max="8192" width="17.28515625" style="14"/>
    <col min="8193" max="8193" width="4" style="14" customWidth="1"/>
    <col min="8194" max="8194" width="32.5703125" style="14" customWidth="1"/>
    <col min="8195" max="8195" width="10.7109375" style="14" bestFit="1" customWidth="1"/>
    <col min="8196" max="8196" width="20.85546875" style="14" customWidth="1"/>
    <col min="8197" max="8197" width="18" style="14" customWidth="1"/>
    <col min="8198" max="8198" width="2" style="14" customWidth="1"/>
    <col min="8199" max="8199" width="16.5703125" style="14" bestFit="1" customWidth="1"/>
    <col min="8200" max="8200" width="13.85546875" style="14" bestFit="1" customWidth="1"/>
    <col min="8201" max="8201" width="18.7109375" style="14" bestFit="1" customWidth="1"/>
    <col min="8202" max="8202" width="14.140625" style="14" bestFit="1" customWidth="1"/>
    <col min="8203" max="8203" width="12" style="14" bestFit="1" customWidth="1"/>
    <col min="8204" max="8204" width="16.5703125" style="14" bestFit="1" customWidth="1"/>
    <col min="8205" max="8205" width="14.140625" style="14" bestFit="1" customWidth="1"/>
    <col min="8206" max="8206" width="16.5703125" style="14" bestFit="1" customWidth="1"/>
    <col min="8207" max="8207" width="1.85546875" style="14" customWidth="1"/>
    <col min="8208" max="8210" width="14.140625" style="14" bestFit="1" customWidth="1"/>
    <col min="8211" max="8211" width="9.5703125" style="14" customWidth="1"/>
    <col min="8212" max="8212" width="14.140625" style="14" bestFit="1" customWidth="1"/>
    <col min="8213" max="8213" width="11" style="14" bestFit="1" customWidth="1"/>
    <col min="8214" max="8214" width="11.42578125" style="14" customWidth="1"/>
    <col min="8215" max="8215" width="1.5703125" style="14" customWidth="1"/>
    <col min="8216" max="8216" width="16.5703125" style="14" bestFit="1" customWidth="1"/>
    <col min="8217" max="8217" width="1.5703125" style="14" customWidth="1"/>
    <col min="8218" max="8218" width="11.28515625" style="14" customWidth="1"/>
    <col min="8219" max="8219" width="0.85546875" style="14" customWidth="1"/>
    <col min="8220" max="8220" width="16.5703125" style="14" bestFit="1" customWidth="1"/>
    <col min="8221" max="8229" width="11.7109375" style="14" customWidth="1"/>
    <col min="8230" max="8448" width="17.28515625" style="14"/>
    <col min="8449" max="8449" width="4" style="14" customWidth="1"/>
    <col min="8450" max="8450" width="32.5703125" style="14" customWidth="1"/>
    <col min="8451" max="8451" width="10.7109375" style="14" bestFit="1" customWidth="1"/>
    <col min="8452" max="8452" width="20.85546875" style="14" customWidth="1"/>
    <col min="8453" max="8453" width="18" style="14" customWidth="1"/>
    <col min="8454" max="8454" width="2" style="14" customWidth="1"/>
    <col min="8455" max="8455" width="16.5703125" style="14" bestFit="1" customWidth="1"/>
    <col min="8456" max="8456" width="13.85546875" style="14" bestFit="1" customWidth="1"/>
    <col min="8457" max="8457" width="18.7109375" style="14" bestFit="1" customWidth="1"/>
    <col min="8458" max="8458" width="14.140625" style="14" bestFit="1" customWidth="1"/>
    <col min="8459" max="8459" width="12" style="14" bestFit="1" customWidth="1"/>
    <col min="8460" max="8460" width="16.5703125" style="14" bestFit="1" customWidth="1"/>
    <col min="8461" max="8461" width="14.140625" style="14" bestFit="1" customWidth="1"/>
    <col min="8462" max="8462" width="16.5703125" style="14" bestFit="1" customWidth="1"/>
    <col min="8463" max="8463" width="1.85546875" style="14" customWidth="1"/>
    <col min="8464" max="8466" width="14.140625" style="14" bestFit="1" customWidth="1"/>
    <col min="8467" max="8467" width="9.5703125" style="14" customWidth="1"/>
    <col min="8468" max="8468" width="14.140625" style="14" bestFit="1" customWidth="1"/>
    <col min="8469" max="8469" width="11" style="14" bestFit="1" customWidth="1"/>
    <col min="8470" max="8470" width="11.42578125" style="14" customWidth="1"/>
    <col min="8471" max="8471" width="1.5703125" style="14" customWidth="1"/>
    <col min="8472" max="8472" width="16.5703125" style="14" bestFit="1" customWidth="1"/>
    <col min="8473" max="8473" width="1.5703125" style="14" customWidth="1"/>
    <col min="8474" max="8474" width="11.28515625" style="14" customWidth="1"/>
    <col min="8475" max="8475" width="0.85546875" style="14" customWidth="1"/>
    <col min="8476" max="8476" width="16.5703125" style="14" bestFit="1" customWidth="1"/>
    <col min="8477" max="8485" width="11.7109375" style="14" customWidth="1"/>
    <col min="8486" max="8704" width="17.28515625" style="14"/>
    <col min="8705" max="8705" width="4" style="14" customWidth="1"/>
    <col min="8706" max="8706" width="32.5703125" style="14" customWidth="1"/>
    <col min="8707" max="8707" width="10.7109375" style="14" bestFit="1" customWidth="1"/>
    <col min="8708" max="8708" width="20.85546875" style="14" customWidth="1"/>
    <col min="8709" max="8709" width="18" style="14" customWidth="1"/>
    <col min="8710" max="8710" width="2" style="14" customWidth="1"/>
    <col min="8711" max="8711" width="16.5703125" style="14" bestFit="1" customWidth="1"/>
    <col min="8712" max="8712" width="13.85546875" style="14" bestFit="1" customWidth="1"/>
    <col min="8713" max="8713" width="18.7109375" style="14" bestFit="1" customWidth="1"/>
    <col min="8714" max="8714" width="14.140625" style="14" bestFit="1" customWidth="1"/>
    <col min="8715" max="8715" width="12" style="14" bestFit="1" customWidth="1"/>
    <col min="8716" max="8716" width="16.5703125" style="14" bestFit="1" customWidth="1"/>
    <col min="8717" max="8717" width="14.140625" style="14" bestFit="1" customWidth="1"/>
    <col min="8718" max="8718" width="16.5703125" style="14" bestFit="1" customWidth="1"/>
    <col min="8719" max="8719" width="1.85546875" style="14" customWidth="1"/>
    <col min="8720" max="8722" width="14.140625" style="14" bestFit="1" customWidth="1"/>
    <col min="8723" max="8723" width="9.5703125" style="14" customWidth="1"/>
    <col min="8724" max="8724" width="14.140625" style="14" bestFit="1" customWidth="1"/>
    <col min="8725" max="8725" width="11" style="14" bestFit="1" customWidth="1"/>
    <col min="8726" max="8726" width="11.42578125" style="14" customWidth="1"/>
    <col min="8727" max="8727" width="1.5703125" style="14" customWidth="1"/>
    <col min="8728" max="8728" width="16.5703125" style="14" bestFit="1" customWidth="1"/>
    <col min="8729" max="8729" width="1.5703125" style="14" customWidth="1"/>
    <col min="8730" max="8730" width="11.28515625" style="14" customWidth="1"/>
    <col min="8731" max="8731" width="0.85546875" style="14" customWidth="1"/>
    <col min="8732" max="8732" width="16.5703125" style="14" bestFit="1" customWidth="1"/>
    <col min="8733" max="8741" width="11.7109375" style="14" customWidth="1"/>
    <col min="8742" max="8960" width="17.28515625" style="14"/>
    <col min="8961" max="8961" width="4" style="14" customWidth="1"/>
    <col min="8962" max="8962" width="32.5703125" style="14" customWidth="1"/>
    <col min="8963" max="8963" width="10.7109375" style="14" bestFit="1" customWidth="1"/>
    <col min="8964" max="8964" width="20.85546875" style="14" customWidth="1"/>
    <col min="8965" max="8965" width="18" style="14" customWidth="1"/>
    <col min="8966" max="8966" width="2" style="14" customWidth="1"/>
    <col min="8967" max="8967" width="16.5703125" style="14" bestFit="1" customWidth="1"/>
    <col min="8968" max="8968" width="13.85546875" style="14" bestFit="1" customWidth="1"/>
    <col min="8969" max="8969" width="18.7109375" style="14" bestFit="1" customWidth="1"/>
    <col min="8970" max="8970" width="14.140625" style="14" bestFit="1" customWidth="1"/>
    <col min="8971" max="8971" width="12" style="14" bestFit="1" customWidth="1"/>
    <col min="8972" max="8972" width="16.5703125" style="14" bestFit="1" customWidth="1"/>
    <col min="8973" max="8973" width="14.140625" style="14" bestFit="1" customWidth="1"/>
    <col min="8974" max="8974" width="16.5703125" style="14" bestFit="1" customWidth="1"/>
    <col min="8975" max="8975" width="1.85546875" style="14" customWidth="1"/>
    <col min="8976" max="8978" width="14.140625" style="14" bestFit="1" customWidth="1"/>
    <col min="8979" max="8979" width="9.5703125" style="14" customWidth="1"/>
    <col min="8980" max="8980" width="14.140625" style="14" bestFit="1" customWidth="1"/>
    <col min="8981" max="8981" width="11" style="14" bestFit="1" customWidth="1"/>
    <col min="8982" max="8982" width="11.42578125" style="14" customWidth="1"/>
    <col min="8983" max="8983" width="1.5703125" style="14" customWidth="1"/>
    <col min="8984" max="8984" width="16.5703125" style="14" bestFit="1" customWidth="1"/>
    <col min="8985" max="8985" width="1.5703125" style="14" customWidth="1"/>
    <col min="8986" max="8986" width="11.28515625" style="14" customWidth="1"/>
    <col min="8987" max="8987" width="0.85546875" style="14" customWidth="1"/>
    <col min="8988" max="8988" width="16.5703125" style="14" bestFit="1" customWidth="1"/>
    <col min="8989" max="8997" width="11.7109375" style="14" customWidth="1"/>
    <col min="8998" max="9216" width="17.28515625" style="14"/>
    <col min="9217" max="9217" width="4" style="14" customWidth="1"/>
    <col min="9218" max="9218" width="32.5703125" style="14" customWidth="1"/>
    <col min="9219" max="9219" width="10.7109375" style="14" bestFit="1" customWidth="1"/>
    <col min="9220" max="9220" width="20.85546875" style="14" customWidth="1"/>
    <col min="9221" max="9221" width="18" style="14" customWidth="1"/>
    <col min="9222" max="9222" width="2" style="14" customWidth="1"/>
    <col min="9223" max="9223" width="16.5703125" style="14" bestFit="1" customWidth="1"/>
    <col min="9224" max="9224" width="13.85546875" style="14" bestFit="1" customWidth="1"/>
    <col min="9225" max="9225" width="18.7109375" style="14" bestFit="1" customWidth="1"/>
    <col min="9226" max="9226" width="14.140625" style="14" bestFit="1" customWidth="1"/>
    <col min="9227" max="9227" width="12" style="14" bestFit="1" customWidth="1"/>
    <col min="9228" max="9228" width="16.5703125" style="14" bestFit="1" customWidth="1"/>
    <col min="9229" max="9229" width="14.140625" style="14" bestFit="1" customWidth="1"/>
    <col min="9230" max="9230" width="16.5703125" style="14" bestFit="1" customWidth="1"/>
    <col min="9231" max="9231" width="1.85546875" style="14" customWidth="1"/>
    <col min="9232" max="9234" width="14.140625" style="14" bestFit="1" customWidth="1"/>
    <col min="9235" max="9235" width="9.5703125" style="14" customWidth="1"/>
    <col min="9236" max="9236" width="14.140625" style="14" bestFit="1" customWidth="1"/>
    <col min="9237" max="9237" width="11" style="14" bestFit="1" customWidth="1"/>
    <col min="9238" max="9238" width="11.42578125" style="14" customWidth="1"/>
    <col min="9239" max="9239" width="1.5703125" style="14" customWidth="1"/>
    <col min="9240" max="9240" width="16.5703125" style="14" bestFit="1" customWidth="1"/>
    <col min="9241" max="9241" width="1.5703125" style="14" customWidth="1"/>
    <col min="9242" max="9242" width="11.28515625" style="14" customWidth="1"/>
    <col min="9243" max="9243" width="0.85546875" style="14" customWidth="1"/>
    <col min="9244" max="9244" width="16.5703125" style="14" bestFit="1" customWidth="1"/>
    <col min="9245" max="9253" width="11.7109375" style="14" customWidth="1"/>
    <col min="9254" max="9472" width="17.28515625" style="14"/>
    <col min="9473" max="9473" width="4" style="14" customWidth="1"/>
    <col min="9474" max="9474" width="32.5703125" style="14" customWidth="1"/>
    <col min="9475" max="9475" width="10.7109375" style="14" bestFit="1" customWidth="1"/>
    <col min="9476" max="9476" width="20.85546875" style="14" customWidth="1"/>
    <col min="9477" max="9477" width="18" style="14" customWidth="1"/>
    <col min="9478" max="9478" width="2" style="14" customWidth="1"/>
    <col min="9479" max="9479" width="16.5703125" style="14" bestFit="1" customWidth="1"/>
    <col min="9480" max="9480" width="13.85546875" style="14" bestFit="1" customWidth="1"/>
    <col min="9481" max="9481" width="18.7109375" style="14" bestFit="1" customWidth="1"/>
    <col min="9482" max="9482" width="14.140625" style="14" bestFit="1" customWidth="1"/>
    <col min="9483" max="9483" width="12" style="14" bestFit="1" customWidth="1"/>
    <col min="9484" max="9484" width="16.5703125" style="14" bestFit="1" customWidth="1"/>
    <col min="9485" max="9485" width="14.140625" style="14" bestFit="1" customWidth="1"/>
    <col min="9486" max="9486" width="16.5703125" style="14" bestFit="1" customWidth="1"/>
    <col min="9487" max="9487" width="1.85546875" style="14" customWidth="1"/>
    <col min="9488" max="9490" width="14.140625" style="14" bestFit="1" customWidth="1"/>
    <col min="9491" max="9491" width="9.5703125" style="14" customWidth="1"/>
    <col min="9492" max="9492" width="14.140625" style="14" bestFit="1" customWidth="1"/>
    <col min="9493" max="9493" width="11" style="14" bestFit="1" customWidth="1"/>
    <col min="9494" max="9494" width="11.42578125" style="14" customWidth="1"/>
    <col min="9495" max="9495" width="1.5703125" style="14" customWidth="1"/>
    <col min="9496" max="9496" width="16.5703125" style="14" bestFit="1" customWidth="1"/>
    <col min="9497" max="9497" width="1.5703125" style="14" customWidth="1"/>
    <col min="9498" max="9498" width="11.28515625" style="14" customWidth="1"/>
    <col min="9499" max="9499" width="0.85546875" style="14" customWidth="1"/>
    <col min="9500" max="9500" width="16.5703125" style="14" bestFit="1" customWidth="1"/>
    <col min="9501" max="9509" width="11.7109375" style="14" customWidth="1"/>
    <col min="9510" max="9728" width="17.28515625" style="14"/>
    <col min="9729" max="9729" width="4" style="14" customWidth="1"/>
    <col min="9730" max="9730" width="32.5703125" style="14" customWidth="1"/>
    <col min="9731" max="9731" width="10.7109375" style="14" bestFit="1" customWidth="1"/>
    <col min="9732" max="9732" width="20.85546875" style="14" customWidth="1"/>
    <col min="9733" max="9733" width="18" style="14" customWidth="1"/>
    <col min="9734" max="9734" width="2" style="14" customWidth="1"/>
    <col min="9735" max="9735" width="16.5703125" style="14" bestFit="1" customWidth="1"/>
    <col min="9736" max="9736" width="13.85546875" style="14" bestFit="1" customWidth="1"/>
    <col min="9737" max="9737" width="18.7109375" style="14" bestFit="1" customWidth="1"/>
    <col min="9738" max="9738" width="14.140625" style="14" bestFit="1" customWidth="1"/>
    <col min="9739" max="9739" width="12" style="14" bestFit="1" customWidth="1"/>
    <col min="9740" max="9740" width="16.5703125" style="14" bestFit="1" customWidth="1"/>
    <col min="9741" max="9741" width="14.140625" style="14" bestFit="1" customWidth="1"/>
    <col min="9742" max="9742" width="16.5703125" style="14" bestFit="1" customWidth="1"/>
    <col min="9743" max="9743" width="1.85546875" style="14" customWidth="1"/>
    <col min="9744" max="9746" width="14.140625" style="14" bestFit="1" customWidth="1"/>
    <col min="9747" max="9747" width="9.5703125" style="14" customWidth="1"/>
    <col min="9748" max="9748" width="14.140625" style="14" bestFit="1" customWidth="1"/>
    <col min="9749" max="9749" width="11" style="14" bestFit="1" customWidth="1"/>
    <col min="9750" max="9750" width="11.42578125" style="14" customWidth="1"/>
    <col min="9751" max="9751" width="1.5703125" style="14" customWidth="1"/>
    <col min="9752" max="9752" width="16.5703125" style="14" bestFit="1" customWidth="1"/>
    <col min="9753" max="9753" width="1.5703125" style="14" customWidth="1"/>
    <col min="9754" max="9754" width="11.28515625" style="14" customWidth="1"/>
    <col min="9755" max="9755" width="0.85546875" style="14" customWidth="1"/>
    <col min="9756" max="9756" width="16.5703125" style="14" bestFit="1" customWidth="1"/>
    <col min="9757" max="9765" width="11.7109375" style="14" customWidth="1"/>
    <col min="9766" max="9984" width="17.28515625" style="14"/>
    <col min="9985" max="9985" width="4" style="14" customWidth="1"/>
    <col min="9986" max="9986" width="32.5703125" style="14" customWidth="1"/>
    <col min="9987" max="9987" width="10.7109375" style="14" bestFit="1" customWidth="1"/>
    <col min="9988" max="9988" width="20.85546875" style="14" customWidth="1"/>
    <col min="9989" max="9989" width="18" style="14" customWidth="1"/>
    <col min="9990" max="9990" width="2" style="14" customWidth="1"/>
    <col min="9991" max="9991" width="16.5703125" style="14" bestFit="1" customWidth="1"/>
    <col min="9992" max="9992" width="13.85546875" style="14" bestFit="1" customWidth="1"/>
    <col min="9993" max="9993" width="18.7109375" style="14" bestFit="1" customWidth="1"/>
    <col min="9994" max="9994" width="14.140625" style="14" bestFit="1" customWidth="1"/>
    <col min="9995" max="9995" width="12" style="14" bestFit="1" customWidth="1"/>
    <col min="9996" max="9996" width="16.5703125" style="14" bestFit="1" customWidth="1"/>
    <col min="9997" max="9997" width="14.140625" style="14" bestFit="1" customWidth="1"/>
    <col min="9998" max="9998" width="16.5703125" style="14" bestFit="1" customWidth="1"/>
    <col min="9999" max="9999" width="1.85546875" style="14" customWidth="1"/>
    <col min="10000" max="10002" width="14.140625" style="14" bestFit="1" customWidth="1"/>
    <col min="10003" max="10003" width="9.5703125" style="14" customWidth="1"/>
    <col min="10004" max="10004" width="14.140625" style="14" bestFit="1" customWidth="1"/>
    <col min="10005" max="10005" width="11" style="14" bestFit="1" customWidth="1"/>
    <col min="10006" max="10006" width="11.42578125" style="14" customWidth="1"/>
    <col min="10007" max="10007" width="1.5703125" style="14" customWidth="1"/>
    <col min="10008" max="10008" width="16.5703125" style="14" bestFit="1" customWidth="1"/>
    <col min="10009" max="10009" width="1.5703125" style="14" customWidth="1"/>
    <col min="10010" max="10010" width="11.28515625" style="14" customWidth="1"/>
    <col min="10011" max="10011" width="0.85546875" style="14" customWidth="1"/>
    <col min="10012" max="10012" width="16.5703125" style="14" bestFit="1" customWidth="1"/>
    <col min="10013" max="10021" width="11.7109375" style="14" customWidth="1"/>
    <col min="10022" max="10240" width="17.28515625" style="14"/>
    <col min="10241" max="10241" width="4" style="14" customWidth="1"/>
    <col min="10242" max="10242" width="32.5703125" style="14" customWidth="1"/>
    <col min="10243" max="10243" width="10.7109375" style="14" bestFit="1" customWidth="1"/>
    <col min="10244" max="10244" width="20.85546875" style="14" customWidth="1"/>
    <col min="10245" max="10245" width="18" style="14" customWidth="1"/>
    <col min="10246" max="10246" width="2" style="14" customWidth="1"/>
    <col min="10247" max="10247" width="16.5703125" style="14" bestFit="1" customWidth="1"/>
    <col min="10248" max="10248" width="13.85546875" style="14" bestFit="1" customWidth="1"/>
    <col min="10249" max="10249" width="18.7109375" style="14" bestFit="1" customWidth="1"/>
    <col min="10250" max="10250" width="14.140625" style="14" bestFit="1" customWidth="1"/>
    <col min="10251" max="10251" width="12" style="14" bestFit="1" customWidth="1"/>
    <col min="10252" max="10252" width="16.5703125" style="14" bestFit="1" customWidth="1"/>
    <col min="10253" max="10253" width="14.140625" style="14" bestFit="1" customWidth="1"/>
    <col min="10254" max="10254" width="16.5703125" style="14" bestFit="1" customWidth="1"/>
    <col min="10255" max="10255" width="1.85546875" style="14" customWidth="1"/>
    <col min="10256" max="10258" width="14.140625" style="14" bestFit="1" customWidth="1"/>
    <col min="10259" max="10259" width="9.5703125" style="14" customWidth="1"/>
    <col min="10260" max="10260" width="14.140625" style="14" bestFit="1" customWidth="1"/>
    <col min="10261" max="10261" width="11" style="14" bestFit="1" customWidth="1"/>
    <col min="10262" max="10262" width="11.42578125" style="14" customWidth="1"/>
    <col min="10263" max="10263" width="1.5703125" style="14" customWidth="1"/>
    <col min="10264" max="10264" width="16.5703125" style="14" bestFit="1" customWidth="1"/>
    <col min="10265" max="10265" width="1.5703125" style="14" customWidth="1"/>
    <col min="10266" max="10266" width="11.28515625" style="14" customWidth="1"/>
    <col min="10267" max="10267" width="0.85546875" style="14" customWidth="1"/>
    <col min="10268" max="10268" width="16.5703125" style="14" bestFit="1" customWidth="1"/>
    <col min="10269" max="10277" width="11.7109375" style="14" customWidth="1"/>
    <col min="10278" max="10496" width="17.28515625" style="14"/>
    <col min="10497" max="10497" width="4" style="14" customWidth="1"/>
    <col min="10498" max="10498" width="32.5703125" style="14" customWidth="1"/>
    <col min="10499" max="10499" width="10.7109375" style="14" bestFit="1" customWidth="1"/>
    <col min="10500" max="10500" width="20.85546875" style="14" customWidth="1"/>
    <col min="10501" max="10501" width="18" style="14" customWidth="1"/>
    <col min="10502" max="10502" width="2" style="14" customWidth="1"/>
    <col min="10503" max="10503" width="16.5703125" style="14" bestFit="1" customWidth="1"/>
    <col min="10504" max="10504" width="13.85546875" style="14" bestFit="1" customWidth="1"/>
    <col min="10505" max="10505" width="18.7109375" style="14" bestFit="1" customWidth="1"/>
    <col min="10506" max="10506" width="14.140625" style="14" bestFit="1" customWidth="1"/>
    <col min="10507" max="10507" width="12" style="14" bestFit="1" customWidth="1"/>
    <col min="10508" max="10508" width="16.5703125" style="14" bestFit="1" customWidth="1"/>
    <col min="10509" max="10509" width="14.140625" style="14" bestFit="1" customWidth="1"/>
    <col min="10510" max="10510" width="16.5703125" style="14" bestFit="1" customWidth="1"/>
    <col min="10511" max="10511" width="1.85546875" style="14" customWidth="1"/>
    <col min="10512" max="10514" width="14.140625" style="14" bestFit="1" customWidth="1"/>
    <col min="10515" max="10515" width="9.5703125" style="14" customWidth="1"/>
    <col min="10516" max="10516" width="14.140625" style="14" bestFit="1" customWidth="1"/>
    <col min="10517" max="10517" width="11" style="14" bestFit="1" customWidth="1"/>
    <col min="10518" max="10518" width="11.42578125" style="14" customWidth="1"/>
    <col min="10519" max="10519" width="1.5703125" style="14" customWidth="1"/>
    <col min="10520" max="10520" width="16.5703125" style="14" bestFit="1" customWidth="1"/>
    <col min="10521" max="10521" width="1.5703125" style="14" customWidth="1"/>
    <col min="10522" max="10522" width="11.28515625" style="14" customWidth="1"/>
    <col min="10523" max="10523" width="0.85546875" style="14" customWidth="1"/>
    <col min="10524" max="10524" width="16.5703125" style="14" bestFit="1" customWidth="1"/>
    <col min="10525" max="10533" width="11.7109375" style="14" customWidth="1"/>
    <col min="10534" max="10752" width="17.28515625" style="14"/>
    <col min="10753" max="10753" width="4" style="14" customWidth="1"/>
    <col min="10754" max="10754" width="32.5703125" style="14" customWidth="1"/>
    <col min="10755" max="10755" width="10.7109375" style="14" bestFit="1" customWidth="1"/>
    <col min="10756" max="10756" width="20.85546875" style="14" customWidth="1"/>
    <col min="10757" max="10757" width="18" style="14" customWidth="1"/>
    <col min="10758" max="10758" width="2" style="14" customWidth="1"/>
    <col min="10759" max="10759" width="16.5703125" style="14" bestFit="1" customWidth="1"/>
    <col min="10760" max="10760" width="13.85546875" style="14" bestFit="1" customWidth="1"/>
    <col min="10761" max="10761" width="18.7109375" style="14" bestFit="1" customWidth="1"/>
    <col min="10762" max="10762" width="14.140625" style="14" bestFit="1" customWidth="1"/>
    <col min="10763" max="10763" width="12" style="14" bestFit="1" customWidth="1"/>
    <col min="10764" max="10764" width="16.5703125" style="14" bestFit="1" customWidth="1"/>
    <col min="10765" max="10765" width="14.140625" style="14" bestFit="1" customWidth="1"/>
    <col min="10766" max="10766" width="16.5703125" style="14" bestFit="1" customWidth="1"/>
    <col min="10767" max="10767" width="1.85546875" style="14" customWidth="1"/>
    <col min="10768" max="10770" width="14.140625" style="14" bestFit="1" customWidth="1"/>
    <col min="10771" max="10771" width="9.5703125" style="14" customWidth="1"/>
    <col min="10772" max="10772" width="14.140625" style="14" bestFit="1" customWidth="1"/>
    <col min="10773" max="10773" width="11" style="14" bestFit="1" customWidth="1"/>
    <col min="10774" max="10774" width="11.42578125" style="14" customWidth="1"/>
    <col min="10775" max="10775" width="1.5703125" style="14" customWidth="1"/>
    <col min="10776" max="10776" width="16.5703125" style="14" bestFit="1" customWidth="1"/>
    <col min="10777" max="10777" width="1.5703125" style="14" customWidth="1"/>
    <col min="10778" max="10778" width="11.28515625" style="14" customWidth="1"/>
    <col min="10779" max="10779" width="0.85546875" style="14" customWidth="1"/>
    <col min="10780" max="10780" width="16.5703125" style="14" bestFit="1" customWidth="1"/>
    <col min="10781" max="10789" width="11.7109375" style="14" customWidth="1"/>
    <col min="10790" max="11008" width="17.28515625" style="14"/>
    <col min="11009" max="11009" width="4" style="14" customWidth="1"/>
    <col min="11010" max="11010" width="32.5703125" style="14" customWidth="1"/>
    <col min="11011" max="11011" width="10.7109375" style="14" bestFit="1" customWidth="1"/>
    <col min="11012" max="11012" width="20.85546875" style="14" customWidth="1"/>
    <col min="11013" max="11013" width="18" style="14" customWidth="1"/>
    <col min="11014" max="11014" width="2" style="14" customWidth="1"/>
    <col min="11015" max="11015" width="16.5703125" style="14" bestFit="1" customWidth="1"/>
    <col min="11016" max="11016" width="13.85546875" style="14" bestFit="1" customWidth="1"/>
    <col min="11017" max="11017" width="18.7109375" style="14" bestFit="1" customWidth="1"/>
    <col min="11018" max="11018" width="14.140625" style="14" bestFit="1" customWidth="1"/>
    <col min="11019" max="11019" width="12" style="14" bestFit="1" customWidth="1"/>
    <col min="11020" max="11020" width="16.5703125" style="14" bestFit="1" customWidth="1"/>
    <col min="11021" max="11021" width="14.140625" style="14" bestFit="1" customWidth="1"/>
    <col min="11022" max="11022" width="16.5703125" style="14" bestFit="1" customWidth="1"/>
    <col min="11023" max="11023" width="1.85546875" style="14" customWidth="1"/>
    <col min="11024" max="11026" width="14.140625" style="14" bestFit="1" customWidth="1"/>
    <col min="11027" max="11027" width="9.5703125" style="14" customWidth="1"/>
    <col min="11028" max="11028" width="14.140625" style="14" bestFit="1" customWidth="1"/>
    <col min="11029" max="11029" width="11" style="14" bestFit="1" customWidth="1"/>
    <col min="11030" max="11030" width="11.42578125" style="14" customWidth="1"/>
    <col min="11031" max="11031" width="1.5703125" style="14" customWidth="1"/>
    <col min="11032" max="11032" width="16.5703125" style="14" bestFit="1" customWidth="1"/>
    <col min="11033" max="11033" width="1.5703125" style="14" customWidth="1"/>
    <col min="11034" max="11034" width="11.28515625" style="14" customWidth="1"/>
    <col min="11035" max="11035" width="0.85546875" style="14" customWidth="1"/>
    <col min="11036" max="11036" width="16.5703125" style="14" bestFit="1" customWidth="1"/>
    <col min="11037" max="11045" width="11.7109375" style="14" customWidth="1"/>
    <col min="11046" max="11264" width="17.28515625" style="14"/>
    <col min="11265" max="11265" width="4" style="14" customWidth="1"/>
    <col min="11266" max="11266" width="32.5703125" style="14" customWidth="1"/>
    <col min="11267" max="11267" width="10.7109375" style="14" bestFit="1" customWidth="1"/>
    <col min="11268" max="11268" width="20.85546875" style="14" customWidth="1"/>
    <col min="11269" max="11269" width="18" style="14" customWidth="1"/>
    <col min="11270" max="11270" width="2" style="14" customWidth="1"/>
    <col min="11271" max="11271" width="16.5703125" style="14" bestFit="1" customWidth="1"/>
    <col min="11272" max="11272" width="13.85546875" style="14" bestFit="1" customWidth="1"/>
    <col min="11273" max="11273" width="18.7109375" style="14" bestFit="1" customWidth="1"/>
    <col min="11274" max="11274" width="14.140625" style="14" bestFit="1" customWidth="1"/>
    <col min="11275" max="11275" width="12" style="14" bestFit="1" customWidth="1"/>
    <col min="11276" max="11276" width="16.5703125" style="14" bestFit="1" customWidth="1"/>
    <col min="11277" max="11277" width="14.140625" style="14" bestFit="1" customWidth="1"/>
    <col min="11278" max="11278" width="16.5703125" style="14" bestFit="1" customWidth="1"/>
    <col min="11279" max="11279" width="1.85546875" style="14" customWidth="1"/>
    <col min="11280" max="11282" width="14.140625" style="14" bestFit="1" customWidth="1"/>
    <col min="11283" max="11283" width="9.5703125" style="14" customWidth="1"/>
    <col min="11284" max="11284" width="14.140625" style="14" bestFit="1" customWidth="1"/>
    <col min="11285" max="11285" width="11" style="14" bestFit="1" customWidth="1"/>
    <col min="11286" max="11286" width="11.42578125" style="14" customWidth="1"/>
    <col min="11287" max="11287" width="1.5703125" style="14" customWidth="1"/>
    <col min="11288" max="11288" width="16.5703125" style="14" bestFit="1" customWidth="1"/>
    <col min="11289" max="11289" width="1.5703125" style="14" customWidth="1"/>
    <col min="11290" max="11290" width="11.28515625" style="14" customWidth="1"/>
    <col min="11291" max="11291" width="0.85546875" style="14" customWidth="1"/>
    <col min="11292" max="11292" width="16.5703125" style="14" bestFit="1" customWidth="1"/>
    <col min="11293" max="11301" width="11.7109375" style="14" customWidth="1"/>
    <col min="11302" max="11520" width="17.28515625" style="14"/>
    <col min="11521" max="11521" width="4" style="14" customWidth="1"/>
    <col min="11522" max="11522" width="32.5703125" style="14" customWidth="1"/>
    <col min="11523" max="11523" width="10.7109375" style="14" bestFit="1" customWidth="1"/>
    <col min="11524" max="11524" width="20.85546875" style="14" customWidth="1"/>
    <col min="11525" max="11525" width="18" style="14" customWidth="1"/>
    <col min="11526" max="11526" width="2" style="14" customWidth="1"/>
    <col min="11527" max="11527" width="16.5703125" style="14" bestFit="1" customWidth="1"/>
    <col min="11528" max="11528" width="13.85546875" style="14" bestFit="1" customWidth="1"/>
    <col min="11529" max="11529" width="18.7109375" style="14" bestFit="1" customWidth="1"/>
    <col min="11530" max="11530" width="14.140625" style="14" bestFit="1" customWidth="1"/>
    <col min="11531" max="11531" width="12" style="14" bestFit="1" customWidth="1"/>
    <col min="11532" max="11532" width="16.5703125" style="14" bestFit="1" customWidth="1"/>
    <col min="11533" max="11533" width="14.140625" style="14" bestFit="1" customWidth="1"/>
    <col min="11534" max="11534" width="16.5703125" style="14" bestFit="1" customWidth="1"/>
    <col min="11535" max="11535" width="1.85546875" style="14" customWidth="1"/>
    <col min="11536" max="11538" width="14.140625" style="14" bestFit="1" customWidth="1"/>
    <col min="11539" max="11539" width="9.5703125" style="14" customWidth="1"/>
    <col min="11540" max="11540" width="14.140625" style="14" bestFit="1" customWidth="1"/>
    <col min="11541" max="11541" width="11" style="14" bestFit="1" customWidth="1"/>
    <col min="11542" max="11542" width="11.42578125" style="14" customWidth="1"/>
    <col min="11543" max="11543" width="1.5703125" style="14" customWidth="1"/>
    <col min="11544" max="11544" width="16.5703125" style="14" bestFit="1" customWidth="1"/>
    <col min="11545" max="11545" width="1.5703125" style="14" customWidth="1"/>
    <col min="11546" max="11546" width="11.28515625" style="14" customWidth="1"/>
    <col min="11547" max="11547" width="0.85546875" style="14" customWidth="1"/>
    <col min="11548" max="11548" width="16.5703125" style="14" bestFit="1" customWidth="1"/>
    <col min="11549" max="11557" width="11.7109375" style="14" customWidth="1"/>
    <col min="11558" max="11776" width="17.28515625" style="14"/>
    <col min="11777" max="11777" width="4" style="14" customWidth="1"/>
    <col min="11778" max="11778" width="32.5703125" style="14" customWidth="1"/>
    <col min="11779" max="11779" width="10.7109375" style="14" bestFit="1" customWidth="1"/>
    <col min="11780" max="11780" width="20.85546875" style="14" customWidth="1"/>
    <col min="11781" max="11781" width="18" style="14" customWidth="1"/>
    <col min="11782" max="11782" width="2" style="14" customWidth="1"/>
    <col min="11783" max="11783" width="16.5703125" style="14" bestFit="1" customWidth="1"/>
    <col min="11784" max="11784" width="13.85546875" style="14" bestFit="1" customWidth="1"/>
    <col min="11785" max="11785" width="18.7109375" style="14" bestFit="1" customWidth="1"/>
    <col min="11786" max="11786" width="14.140625" style="14" bestFit="1" customWidth="1"/>
    <col min="11787" max="11787" width="12" style="14" bestFit="1" customWidth="1"/>
    <col min="11788" max="11788" width="16.5703125" style="14" bestFit="1" customWidth="1"/>
    <col min="11789" max="11789" width="14.140625" style="14" bestFit="1" customWidth="1"/>
    <col min="11790" max="11790" width="16.5703125" style="14" bestFit="1" customWidth="1"/>
    <col min="11791" max="11791" width="1.85546875" style="14" customWidth="1"/>
    <col min="11792" max="11794" width="14.140625" style="14" bestFit="1" customWidth="1"/>
    <col min="11795" max="11795" width="9.5703125" style="14" customWidth="1"/>
    <col min="11796" max="11796" width="14.140625" style="14" bestFit="1" customWidth="1"/>
    <col min="11797" max="11797" width="11" style="14" bestFit="1" customWidth="1"/>
    <col min="11798" max="11798" width="11.42578125" style="14" customWidth="1"/>
    <col min="11799" max="11799" width="1.5703125" style="14" customWidth="1"/>
    <col min="11800" max="11800" width="16.5703125" style="14" bestFit="1" customWidth="1"/>
    <col min="11801" max="11801" width="1.5703125" style="14" customWidth="1"/>
    <col min="11802" max="11802" width="11.28515625" style="14" customWidth="1"/>
    <col min="11803" max="11803" width="0.85546875" style="14" customWidth="1"/>
    <col min="11804" max="11804" width="16.5703125" style="14" bestFit="1" customWidth="1"/>
    <col min="11805" max="11813" width="11.7109375" style="14" customWidth="1"/>
    <col min="11814" max="12032" width="17.28515625" style="14"/>
    <col min="12033" max="12033" width="4" style="14" customWidth="1"/>
    <col min="12034" max="12034" width="32.5703125" style="14" customWidth="1"/>
    <col min="12035" max="12035" width="10.7109375" style="14" bestFit="1" customWidth="1"/>
    <col min="12036" max="12036" width="20.85546875" style="14" customWidth="1"/>
    <col min="12037" max="12037" width="18" style="14" customWidth="1"/>
    <col min="12038" max="12038" width="2" style="14" customWidth="1"/>
    <col min="12039" max="12039" width="16.5703125" style="14" bestFit="1" customWidth="1"/>
    <col min="12040" max="12040" width="13.85546875" style="14" bestFit="1" customWidth="1"/>
    <col min="12041" max="12041" width="18.7109375" style="14" bestFit="1" customWidth="1"/>
    <col min="12042" max="12042" width="14.140625" style="14" bestFit="1" customWidth="1"/>
    <col min="12043" max="12043" width="12" style="14" bestFit="1" customWidth="1"/>
    <col min="12044" max="12044" width="16.5703125" style="14" bestFit="1" customWidth="1"/>
    <col min="12045" max="12045" width="14.140625" style="14" bestFit="1" customWidth="1"/>
    <col min="12046" max="12046" width="16.5703125" style="14" bestFit="1" customWidth="1"/>
    <col min="12047" max="12047" width="1.85546875" style="14" customWidth="1"/>
    <col min="12048" max="12050" width="14.140625" style="14" bestFit="1" customWidth="1"/>
    <col min="12051" max="12051" width="9.5703125" style="14" customWidth="1"/>
    <col min="12052" max="12052" width="14.140625" style="14" bestFit="1" customWidth="1"/>
    <col min="12053" max="12053" width="11" style="14" bestFit="1" customWidth="1"/>
    <col min="12054" max="12054" width="11.42578125" style="14" customWidth="1"/>
    <col min="12055" max="12055" width="1.5703125" style="14" customWidth="1"/>
    <col min="12056" max="12056" width="16.5703125" style="14" bestFit="1" customWidth="1"/>
    <col min="12057" max="12057" width="1.5703125" style="14" customWidth="1"/>
    <col min="12058" max="12058" width="11.28515625" style="14" customWidth="1"/>
    <col min="12059" max="12059" width="0.85546875" style="14" customWidth="1"/>
    <col min="12060" max="12060" width="16.5703125" style="14" bestFit="1" customWidth="1"/>
    <col min="12061" max="12069" width="11.7109375" style="14" customWidth="1"/>
    <col min="12070" max="12288" width="17.28515625" style="14"/>
    <col min="12289" max="12289" width="4" style="14" customWidth="1"/>
    <col min="12290" max="12290" width="32.5703125" style="14" customWidth="1"/>
    <col min="12291" max="12291" width="10.7109375" style="14" bestFit="1" customWidth="1"/>
    <col min="12292" max="12292" width="20.85546875" style="14" customWidth="1"/>
    <col min="12293" max="12293" width="18" style="14" customWidth="1"/>
    <col min="12294" max="12294" width="2" style="14" customWidth="1"/>
    <col min="12295" max="12295" width="16.5703125" style="14" bestFit="1" customWidth="1"/>
    <col min="12296" max="12296" width="13.85546875" style="14" bestFit="1" customWidth="1"/>
    <col min="12297" max="12297" width="18.7109375" style="14" bestFit="1" customWidth="1"/>
    <col min="12298" max="12298" width="14.140625" style="14" bestFit="1" customWidth="1"/>
    <col min="12299" max="12299" width="12" style="14" bestFit="1" customWidth="1"/>
    <col min="12300" max="12300" width="16.5703125" style="14" bestFit="1" customWidth="1"/>
    <col min="12301" max="12301" width="14.140625" style="14" bestFit="1" customWidth="1"/>
    <col min="12302" max="12302" width="16.5703125" style="14" bestFit="1" customWidth="1"/>
    <col min="12303" max="12303" width="1.85546875" style="14" customWidth="1"/>
    <col min="12304" max="12306" width="14.140625" style="14" bestFit="1" customWidth="1"/>
    <col min="12307" max="12307" width="9.5703125" style="14" customWidth="1"/>
    <col min="12308" max="12308" width="14.140625" style="14" bestFit="1" customWidth="1"/>
    <col min="12309" max="12309" width="11" style="14" bestFit="1" customWidth="1"/>
    <col min="12310" max="12310" width="11.42578125" style="14" customWidth="1"/>
    <col min="12311" max="12311" width="1.5703125" style="14" customWidth="1"/>
    <col min="12312" max="12312" width="16.5703125" style="14" bestFit="1" customWidth="1"/>
    <col min="12313" max="12313" width="1.5703125" style="14" customWidth="1"/>
    <col min="12314" max="12314" width="11.28515625" style="14" customWidth="1"/>
    <col min="12315" max="12315" width="0.85546875" style="14" customWidth="1"/>
    <col min="12316" max="12316" width="16.5703125" style="14" bestFit="1" customWidth="1"/>
    <col min="12317" max="12325" width="11.7109375" style="14" customWidth="1"/>
    <col min="12326" max="12544" width="17.28515625" style="14"/>
    <col min="12545" max="12545" width="4" style="14" customWidth="1"/>
    <col min="12546" max="12546" width="32.5703125" style="14" customWidth="1"/>
    <col min="12547" max="12547" width="10.7109375" style="14" bestFit="1" customWidth="1"/>
    <col min="12548" max="12548" width="20.85546875" style="14" customWidth="1"/>
    <col min="12549" max="12549" width="18" style="14" customWidth="1"/>
    <col min="12550" max="12550" width="2" style="14" customWidth="1"/>
    <col min="12551" max="12551" width="16.5703125" style="14" bestFit="1" customWidth="1"/>
    <col min="12552" max="12552" width="13.85546875" style="14" bestFit="1" customWidth="1"/>
    <col min="12553" max="12553" width="18.7109375" style="14" bestFit="1" customWidth="1"/>
    <col min="12554" max="12554" width="14.140625" style="14" bestFit="1" customWidth="1"/>
    <col min="12555" max="12555" width="12" style="14" bestFit="1" customWidth="1"/>
    <col min="12556" max="12556" width="16.5703125" style="14" bestFit="1" customWidth="1"/>
    <col min="12557" max="12557" width="14.140625" style="14" bestFit="1" customWidth="1"/>
    <col min="12558" max="12558" width="16.5703125" style="14" bestFit="1" customWidth="1"/>
    <col min="12559" max="12559" width="1.85546875" style="14" customWidth="1"/>
    <col min="12560" max="12562" width="14.140625" style="14" bestFit="1" customWidth="1"/>
    <col min="12563" max="12563" width="9.5703125" style="14" customWidth="1"/>
    <col min="12564" max="12564" width="14.140625" style="14" bestFit="1" customWidth="1"/>
    <col min="12565" max="12565" width="11" style="14" bestFit="1" customWidth="1"/>
    <col min="12566" max="12566" width="11.42578125" style="14" customWidth="1"/>
    <col min="12567" max="12567" width="1.5703125" style="14" customWidth="1"/>
    <col min="12568" max="12568" width="16.5703125" style="14" bestFit="1" customWidth="1"/>
    <col min="12569" max="12569" width="1.5703125" style="14" customWidth="1"/>
    <col min="12570" max="12570" width="11.28515625" style="14" customWidth="1"/>
    <col min="12571" max="12571" width="0.85546875" style="14" customWidth="1"/>
    <col min="12572" max="12572" width="16.5703125" style="14" bestFit="1" customWidth="1"/>
    <col min="12573" max="12581" width="11.7109375" style="14" customWidth="1"/>
    <col min="12582" max="12800" width="17.28515625" style="14"/>
    <col min="12801" max="12801" width="4" style="14" customWidth="1"/>
    <col min="12802" max="12802" width="32.5703125" style="14" customWidth="1"/>
    <col min="12803" max="12803" width="10.7109375" style="14" bestFit="1" customWidth="1"/>
    <col min="12804" max="12804" width="20.85546875" style="14" customWidth="1"/>
    <col min="12805" max="12805" width="18" style="14" customWidth="1"/>
    <col min="12806" max="12806" width="2" style="14" customWidth="1"/>
    <col min="12807" max="12807" width="16.5703125" style="14" bestFit="1" customWidth="1"/>
    <col min="12808" max="12808" width="13.85546875" style="14" bestFit="1" customWidth="1"/>
    <col min="12809" max="12809" width="18.7109375" style="14" bestFit="1" customWidth="1"/>
    <col min="12810" max="12810" width="14.140625" style="14" bestFit="1" customWidth="1"/>
    <col min="12811" max="12811" width="12" style="14" bestFit="1" customWidth="1"/>
    <col min="12812" max="12812" width="16.5703125" style="14" bestFit="1" customWidth="1"/>
    <col min="12813" max="12813" width="14.140625" style="14" bestFit="1" customWidth="1"/>
    <col min="12814" max="12814" width="16.5703125" style="14" bestFit="1" customWidth="1"/>
    <col min="12815" max="12815" width="1.85546875" style="14" customWidth="1"/>
    <col min="12816" max="12818" width="14.140625" style="14" bestFit="1" customWidth="1"/>
    <col min="12819" max="12819" width="9.5703125" style="14" customWidth="1"/>
    <col min="12820" max="12820" width="14.140625" style="14" bestFit="1" customWidth="1"/>
    <col min="12821" max="12821" width="11" style="14" bestFit="1" customWidth="1"/>
    <col min="12822" max="12822" width="11.42578125" style="14" customWidth="1"/>
    <col min="12823" max="12823" width="1.5703125" style="14" customWidth="1"/>
    <col min="12824" max="12824" width="16.5703125" style="14" bestFit="1" customWidth="1"/>
    <col min="12825" max="12825" width="1.5703125" style="14" customWidth="1"/>
    <col min="12826" max="12826" width="11.28515625" style="14" customWidth="1"/>
    <col min="12827" max="12827" width="0.85546875" style="14" customWidth="1"/>
    <col min="12828" max="12828" width="16.5703125" style="14" bestFit="1" customWidth="1"/>
    <col min="12829" max="12837" width="11.7109375" style="14" customWidth="1"/>
    <col min="12838" max="13056" width="17.28515625" style="14"/>
    <col min="13057" max="13057" width="4" style="14" customWidth="1"/>
    <col min="13058" max="13058" width="32.5703125" style="14" customWidth="1"/>
    <col min="13059" max="13059" width="10.7109375" style="14" bestFit="1" customWidth="1"/>
    <col min="13060" max="13060" width="20.85546875" style="14" customWidth="1"/>
    <col min="13061" max="13061" width="18" style="14" customWidth="1"/>
    <col min="13062" max="13062" width="2" style="14" customWidth="1"/>
    <col min="13063" max="13063" width="16.5703125" style="14" bestFit="1" customWidth="1"/>
    <col min="13064" max="13064" width="13.85546875" style="14" bestFit="1" customWidth="1"/>
    <col min="13065" max="13065" width="18.7109375" style="14" bestFit="1" customWidth="1"/>
    <col min="13066" max="13066" width="14.140625" style="14" bestFit="1" customWidth="1"/>
    <col min="13067" max="13067" width="12" style="14" bestFit="1" customWidth="1"/>
    <col min="13068" max="13068" width="16.5703125" style="14" bestFit="1" customWidth="1"/>
    <col min="13069" max="13069" width="14.140625" style="14" bestFit="1" customWidth="1"/>
    <col min="13070" max="13070" width="16.5703125" style="14" bestFit="1" customWidth="1"/>
    <col min="13071" max="13071" width="1.85546875" style="14" customWidth="1"/>
    <col min="13072" max="13074" width="14.140625" style="14" bestFit="1" customWidth="1"/>
    <col min="13075" max="13075" width="9.5703125" style="14" customWidth="1"/>
    <col min="13076" max="13076" width="14.140625" style="14" bestFit="1" customWidth="1"/>
    <col min="13077" max="13077" width="11" style="14" bestFit="1" customWidth="1"/>
    <col min="13078" max="13078" width="11.42578125" style="14" customWidth="1"/>
    <col min="13079" max="13079" width="1.5703125" style="14" customWidth="1"/>
    <col min="13080" max="13080" width="16.5703125" style="14" bestFit="1" customWidth="1"/>
    <col min="13081" max="13081" width="1.5703125" style="14" customWidth="1"/>
    <col min="13082" max="13082" width="11.28515625" style="14" customWidth="1"/>
    <col min="13083" max="13083" width="0.85546875" style="14" customWidth="1"/>
    <col min="13084" max="13084" width="16.5703125" style="14" bestFit="1" customWidth="1"/>
    <col min="13085" max="13093" width="11.7109375" style="14" customWidth="1"/>
    <col min="13094" max="13312" width="17.28515625" style="14"/>
    <col min="13313" max="13313" width="4" style="14" customWidth="1"/>
    <col min="13314" max="13314" width="32.5703125" style="14" customWidth="1"/>
    <col min="13315" max="13315" width="10.7109375" style="14" bestFit="1" customWidth="1"/>
    <col min="13316" max="13316" width="20.85546875" style="14" customWidth="1"/>
    <col min="13317" max="13317" width="18" style="14" customWidth="1"/>
    <col min="13318" max="13318" width="2" style="14" customWidth="1"/>
    <col min="13319" max="13319" width="16.5703125" style="14" bestFit="1" customWidth="1"/>
    <col min="13320" max="13320" width="13.85546875" style="14" bestFit="1" customWidth="1"/>
    <col min="13321" max="13321" width="18.7109375" style="14" bestFit="1" customWidth="1"/>
    <col min="13322" max="13322" width="14.140625" style="14" bestFit="1" customWidth="1"/>
    <col min="13323" max="13323" width="12" style="14" bestFit="1" customWidth="1"/>
    <col min="13324" max="13324" width="16.5703125" style="14" bestFit="1" customWidth="1"/>
    <col min="13325" max="13325" width="14.140625" style="14" bestFit="1" customWidth="1"/>
    <col min="13326" max="13326" width="16.5703125" style="14" bestFit="1" customWidth="1"/>
    <col min="13327" max="13327" width="1.85546875" style="14" customWidth="1"/>
    <col min="13328" max="13330" width="14.140625" style="14" bestFit="1" customWidth="1"/>
    <col min="13331" max="13331" width="9.5703125" style="14" customWidth="1"/>
    <col min="13332" max="13332" width="14.140625" style="14" bestFit="1" customWidth="1"/>
    <col min="13333" max="13333" width="11" style="14" bestFit="1" customWidth="1"/>
    <col min="13334" max="13334" width="11.42578125" style="14" customWidth="1"/>
    <col min="13335" max="13335" width="1.5703125" style="14" customWidth="1"/>
    <col min="13336" max="13336" width="16.5703125" style="14" bestFit="1" customWidth="1"/>
    <col min="13337" max="13337" width="1.5703125" style="14" customWidth="1"/>
    <col min="13338" max="13338" width="11.28515625" style="14" customWidth="1"/>
    <col min="13339" max="13339" width="0.85546875" style="14" customWidth="1"/>
    <col min="13340" max="13340" width="16.5703125" style="14" bestFit="1" customWidth="1"/>
    <col min="13341" max="13349" width="11.7109375" style="14" customWidth="1"/>
    <col min="13350" max="13568" width="17.28515625" style="14"/>
    <col min="13569" max="13569" width="4" style="14" customWidth="1"/>
    <col min="13570" max="13570" width="32.5703125" style="14" customWidth="1"/>
    <col min="13571" max="13571" width="10.7109375" style="14" bestFit="1" customWidth="1"/>
    <col min="13572" max="13572" width="20.85546875" style="14" customWidth="1"/>
    <col min="13573" max="13573" width="18" style="14" customWidth="1"/>
    <col min="13574" max="13574" width="2" style="14" customWidth="1"/>
    <col min="13575" max="13575" width="16.5703125" style="14" bestFit="1" customWidth="1"/>
    <col min="13576" max="13576" width="13.85546875" style="14" bestFit="1" customWidth="1"/>
    <col min="13577" max="13577" width="18.7109375" style="14" bestFit="1" customWidth="1"/>
    <col min="13578" max="13578" width="14.140625" style="14" bestFit="1" customWidth="1"/>
    <col min="13579" max="13579" width="12" style="14" bestFit="1" customWidth="1"/>
    <col min="13580" max="13580" width="16.5703125" style="14" bestFit="1" customWidth="1"/>
    <col min="13581" max="13581" width="14.140625" style="14" bestFit="1" customWidth="1"/>
    <col min="13582" max="13582" width="16.5703125" style="14" bestFit="1" customWidth="1"/>
    <col min="13583" max="13583" width="1.85546875" style="14" customWidth="1"/>
    <col min="13584" max="13586" width="14.140625" style="14" bestFit="1" customWidth="1"/>
    <col min="13587" max="13587" width="9.5703125" style="14" customWidth="1"/>
    <col min="13588" max="13588" width="14.140625" style="14" bestFit="1" customWidth="1"/>
    <col min="13589" max="13589" width="11" style="14" bestFit="1" customWidth="1"/>
    <col min="13590" max="13590" width="11.42578125" style="14" customWidth="1"/>
    <col min="13591" max="13591" width="1.5703125" style="14" customWidth="1"/>
    <col min="13592" max="13592" width="16.5703125" style="14" bestFit="1" customWidth="1"/>
    <col min="13593" max="13593" width="1.5703125" style="14" customWidth="1"/>
    <col min="13594" max="13594" width="11.28515625" style="14" customWidth="1"/>
    <col min="13595" max="13595" width="0.85546875" style="14" customWidth="1"/>
    <col min="13596" max="13596" width="16.5703125" style="14" bestFit="1" customWidth="1"/>
    <col min="13597" max="13605" width="11.7109375" style="14" customWidth="1"/>
    <col min="13606" max="13824" width="17.28515625" style="14"/>
    <col min="13825" max="13825" width="4" style="14" customWidth="1"/>
    <col min="13826" max="13826" width="32.5703125" style="14" customWidth="1"/>
    <col min="13827" max="13827" width="10.7109375" style="14" bestFit="1" customWidth="1"/>
    <col min="13828" max="13828" width="20.85546875" style="14" customWidth="1"/>
    <col min="13829" max="13829" width="18" style="14" customWidth="1"/>
    <col min="13830" max="13830" width="2" style="14" customWidth="1"/>
    <col min="13831" max="13831" width="16.5703125" style="14" bestFit="1" customWidth="1"/>
    <col min="13832" max="13832" width="13.85546875" style="14" bestFit="1" customWidth="1"/>
    <col min="13833" max="13833" width="18.7109375" style="14" bestFit="1" customWidth="1"/>
    <col min="13834" max="13834" width="14.140625" style="14" bestFit="1" customWidth="1"/>
    <col min="13835" max="13835" width="12" style="14" bestFit="1" customWidth="1"/>
    <col min="13836" max="13836" width="16.5703125" style="14" bestFit="1" customWidth="1"/>
    <col min="13837" max="13837" width="14.140625" style="14" bestFit="1" customWidth="1"/>
    <col min="13838" max="13838" width="16.5703125" style="14" bestFit="1" customWidth="1"/>
    <col min="13839" max="13839" width="1.85546875" style="14" customWidth="1"/>
    <col min="13840" max="13842" width="14.140625" style="14" bestFit="1" customWidth="1"/>
    <col min="13843" max="13843" width="9.5703125" style="14" customWidth="1"/>
    <col min="13844" max="13844" width="14.140625" style="14" bestFit="1" customWidth="1"/>
    <col min="13845" max="13845" width="11" style="14" bestFit="1" customWidth="1"/>
    <col min="13846" max="13846" width="11.42578125" style="14" customWidth="1"/>
    <col min="13847" max="13847" width="1.5703125" style="14" customWidth="1"/>
    <col min="13848" max="13848" width="16.5703125" style="14" bestFit="1" customWidth="1"/>
    <col min="13849" max="13849" width="1.5703125" style="14" customWidth="1"/>
    <col min="13850" max="13850" width="11.28515625" style="14" customWidth="1"/>
    <col min="13851" max="13851" width="0.85546875" style="14" customWidth="1"/>
    <col min="13852" max="13852" width="16.5703125" style="14" bestFit="1" customWidth="1"/>
    <col min="13853" max="13861" width="11.7109375" style="14" customWidth="1"/>
    <col min="13862" max="14080" width="17.28515625" style="14"/>
    <col min="14081" max="14081" width="4" style="14" customWidth="1"/>
    <col min="14082" max="14082" width="32.5703125" style="14" customWidth="1"/>
    <col min="14083" max="14083" width="10.7109375" style="14" bestFit="1" customWidth="1"/>
    <col min="14084" max="14084" width="20.85546875" style="14" customWidth="1"/>
    <col min="14085" max="14085" width="18" style="14" customWidth="1"/>
    <col min="14086" max="14086" width="2" style="14" customWidth="1"/>
    <col min="14087" max="14087" width="16.5703125" style="14" bestFit="1" customWidth="1"/>
    <col min="14088" max="14088" width="13.85546875" style="14" bestFit="1" customWidth="1"/>
    <col min="14089" max="14089" width="18.7109375" style="14" bestFit="1" customWidth="1"/>
    <col min="14090" max="14090" width="14.140625" style="14" bestFit="1" customWidth="1"/>
    <col min="14091" max="14091" width="12" style="14" bestFit="1" customWidth="1"/>
    <col min="14092" max="14092" width="16.5703125" style="14" bestFit="1" customWidth="1"/>
    <col min="14093" max="14093" width="14.140625" style="14" bestFit="1" customWidth="1"/>
    <col min="14094" max="14094" width="16.5703125" style="14" bestFit="1" customWidth="1"/>
    <col min="14095" max="14095" width="1.85546875" style="14" customWidth="1"/>
    <col min="14096" max="14098" width="14.140625" style="14" bestFit="1" customWidth="1"/>
    <col min="14099" max="14099" width="9.5703125" style="14" customWidth="1"/>
    <col min="14100" max="14100" width="14.140625" style="14" bestFit="1" customWidth="1"/>
    <col min="14101" max="14101" width="11" style="14" bestFit="1" customWidth="1"/>
    <col min="14102" max="14102" width="11.42578125" style="14" customWidth="1"/>
    <col min="14103" max="14103" width="1.5703125" style="14" customWidth="1"/>
    <col min="14104" max="14104" width="16.5703125" style="14" bestFit="1" customWidth="1"/>
    <col min="14105" max="14105" width="1.5703125" style="14" customWidth="1"/>
    <col min="14106" max="14106" width="11.28515625" style="14" customWidth="1"/>
    <col min="14107" max="14107" width="0.85546875" style="14" customWidth="1"/>
    <col min="14108" max="14108" width="16.5703125" style="14" bestFit="1" customWidth="1"/>
    <col min="14109" max="14117" width="11.7109375" style="14" customWidth="1"/>
    <col min="14118" max="14336" width="17.28515625" style="14"/>
    <col min="14337" max="14337" width="4" style="14" customWidth="1"/>
    <col min="14338" max="14338" width="32.5703125" style="14" customWidth="1"/>
    <col min="14339" max="14339" width="10.7109375" style="14" bestFit="1" customWidth="1"/>
    <col min="14340" max="14340" width="20.85546875" style="14" customWidth="1"/>
    <col min="14341" max="14341" width="18" style="14" customWidth="1"/>
    <col min="14342" max="14342" width="2" style="14" customWidth="1"/>
    <col min="14343" max="14343" width="16.5703125" style="14" bestFit="1" customWidth="1"/>
    <col min="14344" max="14344" width="13.85546875" style="14" bestFit="1" customWidth="1"/>
    <col min="14345" max="14345" width="18.7109375" style="14" bestFit="1" customWidth="1"/>
    <col min="14346" max="14346" width="14.140625" style="14" bestFit="1" customWidth="1"/>
    <col min="14347" max="14347" width="12" style="14" bestFit="1" customWidth="1"/>
    <col min="14348" max="14348" width="16.5703125" style="14" bestFit="1" customWidth="1"/>
    <col min="14349" max="14349" width="14.140625" style="14" bestFit="1" customWidth="1"/>
    <col min="14350" max="14350" width="16.5703125" style="14" bestFit="1" customWidth="1"/>
    <col min="14351" max="14351" width="1.85546875" style="14" customWidth="1"/>
    <col min="14352" max="14354" width="14.140625" style="14" bestFit="1" customWidth="1"/>
    <col min="14355" max="14355" width="9.5703125" style="14" customWidth="1"/>
    <col min="14356" max="14356" width="14.140625" style="14" bestFit="1" customWidth="1"/>
    <col min="14357" max="14357" width="11" style="14" bestFit="1" customWidth="1"/>
    <col min="14358" max="14358" width="11.42578125" style="14" customWidth="1"/>
    <col min="14359" max="14359" width="1.5703125" style="14" customWidth="1"/>
    <col min="14360" max="14360" width="16.5703125" style="14" bestFit="1" customWidth="1"/>
    <col min="14361" max="14361" width="1.5703125" style="14" customWidth="1"/>
    <col min="14362" max="14362" width="11.28515625" style="14" customWidth="1"/>
    <col min="14363" max="14363" width="0.85546875" style="14" customWidth="1"/>
    <col min="14364" max="14364" width="16.5703125" style="14" bestFit="1" customWidth="1"/>
    <col min="14365" max="14373" width="11.7109375" style="14" customWidth="1"/>
    <col min="14374" max="14592" width="17.28515625" style="14"/>
    <col min="14593" max="14593" width="4" style="14" customWidth="1"/>
    <col min="14594" max="14594" width="32.5703125" style="14" customWidth="1"/>
    <col min="14595" max="14595" width="10.7109375" style="14" bestFit="1" customWidth="1"/>
    <col min="14596" max="14596" width="20.85546875" style="14" customWidth="1"/>
    <col min="14597" max="14597" width="18" style="14" customWidth="1"/>
    <col min="14598" max="14598" width="2" style="14" customWidth="1"/>
    <col min="14599" max="14599" width="16.5703125" style="14" bestFit="1" customWidth="1"/>
    <col min="14600" max="14600" width="13.85546875" style="14" bestFit="1" customWidth="1"/>
    <col min="14601" max="14601" width="18.7109375" style="14" bestFit="1" customWidth="1"/>
    <col min="14602" max="14602" width="14.140625" style="14" bestFit="1" customWidth="1"/>
    <col min="14603" max="14603" width="12" style="14" bestFit="1" customWidth="1"/>
    <col min="14604" max="14604" width="16.5703125" style="14" bestFit="1" customWidth="1"/>
    <col min="14605" max="14605" width="14.140625" style="14" bestFit="1" customWidth="1"/>
    <col min="14606" max="14606" width="16.5703125" style="14" bestFit="1" customWidth="1"/>
    <col min="14607" max="14607" width="1.85546875" style="14" customWidth="1"/>
    <col min="14608" max="14610" width="14.140625" style="14" bestFit="1" customWidth="1"/>
    <col min="14611" max="14611" width="9.5703125" style="14" customWidth="1"/>
    <col min="14612" max="14612" width="14.140625" style="14" bestFit="1" customWidth="1"/>
    <col min="14613" max="14613" width="11" style="14" bestFit="1" customWidth="1"/>
    <col min="14614" max="14614" width="11.42578125" style="14" customWidth="1"/>
    <col min="14615" max="14615" width="1.5703125" style="14" customWidth="1"/>
    <col min="14616" max="14616" width="16.5703125" style="14" bestFit="1" customWidth="1"/>
    <col min="14617" max="14617" width="1.5703125" style="14" customWidth="1"/>
    <col min="14618" max="14618" width="11.28515625" style="14" customWidth="1"/>
    <col min="14619" max="14619" width="0.85546875" style="14" customWidth="1"/>
    <col min="14620" max="14620" width="16.5703125" style="14" bestFit="1" customWidth="1"/>
    <col min="14621" max="14629" width="11.7109375" style="14" customWidth="1"/>
    <col min="14630" max="14848" width="17.28515625" style="14"/>
    <col min="14849" max="14849" width="4" style="14" customWidth="1"/>
    <col min="14850" max="14850" width="32.5703125" style="14" customWidth="1"/>
    <col min="14851" max="14851" width="10.7109375" style="14" bestFit="1" customWidth="1"/>
    <col min="14852" max="14852" width="20.85546875" style="14" customWidth="1"/>
    <col min="14853" max="14853" width="18" style="14" customWidth="1"/>
    <col min="14854" max="14854" width="2" style="14" customWidth="1"/>
    <col min="14855" max="14855" width="16.5703125" style="14" bestFit="1" customWidth="1"/>
    <col min="14856" max="14856" width="13.85546875" style="14" bestFit="1" customWidth="1"/>
    <col min="14857" max="14857" width="18.7109375" style="14" bestFit="1" customWidth="1"/>
    <col min="14858" max="14858" width="14.140625" style="14" bestFit="1" customWidth="1"/>
    <col min="14859" max="14859" width="12" style="14" bestFit="1" customWidth="1"/>
    <col min="14860" max="14860" width="16.5703125" style="14" bestFit="1" customWidth="1"/>
    <col min="14861" max="14861" width="14.140625" style="14" bestFit="1" customWidth="1"/>
    <col min="14862" max="14862" width="16.5703125" style="14" bestFit="1" customWidth="1"/>
    <col min="14863" max="14863" width="1.85546875" style="14" customWidth="1"/>
    <col min="14864" max="14866" width="14.140625" style="14" bestFit="1" customWidth="1"/>
    <col min="14867" max="14867" width="9.5703125" style="14" customWidth="1"/>
    <col min="14868" max="14868" width="14.140625" style="14" bestFit="1" customWidth="1"/>
    <col min="14869" max="14869" width="11" style="14" bestFit="1" customWidth="1"/>
    <col min="14870" max="14870" width="11.42578125" style="14" customWidth="1"/>
    <col min="14871" max="14871" width="1.5703125" style="14" customWidth="1"/>
    <col min="14872" max="14872" width="16.5703125" style="14" bestFit="1" customWidth="1"/>
    <col min="14873" max="14873" width="1.5703125" style="14" customWidth="1"/>
    <col min="14874" max="14874" width="11.28515625" style="14" customWidth="1"/>
    <col min="14875" max="14875" width="0.85546875" style="14" customWidth="1"/>
    <col min="14876" max="14876" width="16.5703125" style="14" bestFit="1" customWidth="1"/>
    <col min="14877" max="14885" width="11.7109375" style="14" customWidth="1"/>
    <col min="14886" max="15104" width="17.28515625" style="14"/>
    <col min="15105" max="15105" width="4" style="14" customWidth="1"/>
    <col min="15106" max="15106" width="32.5703125" style="14" customWidth="1"/>
    <col min="15107" max="15107" width="10.7109375" style="14" bestFit="1" customWidth="1"/>
    <col min="15108" max="15108" width="20.85546875" style="14" customWidth="1"/>
    <col min="15109" max="15109" width="18" style="14" customWidth="1"/>
    <col min="15110" max="15110" width="2" style="14" customWidth="1"/>
    <col min="15111" max="15111" width="16.5703125" style="14" bestFit="1" customWidth="1"/>
    <col min="15112" max="15112" width="13.85546875" style="14" bestFit="1" customWidth="1"/>
    <col min="15113" max="15113" width="18.7109375" style="14" bestFit="1" customWidth="1"/>
    <col min="15114" max="15114" width="14.140625" style="14" bestFit="1" customWidth="1"/>
    <col min="15115" max="15115" width="12" style="14" bestFit="1" customWidth="1"/>
    <col min="15116" max="15116" width="16.5703125" style="14" bestFit="1" customWidth="1"/>
    <col min="15117" max="15117" width="14.140625" style="14" bestFit="1" customWidth="1"/>
    <col min="15118" max="15118" width="16.5703125" style="14" bestFit="1" customWidth="1"/>
    <col min="15119" max="15119" width="1.85546875" style="14" customWidth="1"/>
    <col min="15120" max="15122" width="14.140625" style="14" bestFit="1" customWidth="1"/>
    <col min="15123" max="15123" width="9.5703125" style="14" customWidth="1"/>
    <col min="15124" max="15124" width="14.140625" style="14" bestFit="1" customWidth="1"/>
    <col min="15125" max="15125" width="11" style="14" bestFit="1" customWidth="1"/>
    <col min="15126" max="15126" width="11.42578125" style="14" customWidth="1"/>
    <col min="15127" max="15127" width="1.5703125" style="14" customWidth="1"/>
    <col min="15128" max="15128" width="16.5703125" style="14" bestFit="1" customWidth="1"/>
    <col min="15129" max="15129" width="1.5703125" style="14" customWidth="1"/>
    <col min="15130" max="15130" width="11.28515625" style="14" customWidth="1"/>
    <col min="15131" max="15131" width="0.85546875" style="14" customWidth="1"/>
    <col min="15132" max="15132" width="16.5703125" style="14" bestFit="1" customWidth="1"/>
    <col min="15133" max="15141" width="11.7109375" style="14" customWidth="1"/>
    <col min="15142" max="15360" width="17.28515625" style="14"/>
    <col min="15361" max="15361" width="4" style="14" customWidth="1"/>
    <col min="15362" max="15362" width="32.5703125" style="14" customWidth="1"/>
    <col min="15363" max="15363" width="10.7109375" style="14" bestFit="1" customWidth="1"/>
    <col min="15364" max="15364" width="20.85546875" style="14" customWidth="1"/>
    <col min="15365" max="15365" width="18" style="14" customWidth="1"/>
    <col min="15366" max="15366" width="2" style="14" customWidth="1"/>
    <col min="15367" max="15367" width="16.5703125" style="14" bestFit="1" customWidth="1"/>
    <col min="15368" max="15368" width="13.85546875" style="14" bestFit="1" customWidth="1"/>
    <col min="15369" max="15369" width="18.7109375" style="14" bestFit="1" customWidth="1"/>
    <col min="15370" max="15370" width="14.140625" style="14" bestFit="1" customWidth="1"/>
    <col min="15371" max="15371" width="12" style="14" bestFit="1" customWidth="1"/>
    <col min="15372" max="15372" width="16.5703125" style="14" bestFit="1" customWidth="1"/>
    <col min="15373" max="15373" width="14.140625" style="14" bestFit="1" customWidth="1"/>
    <col min="15374" max="15374" width="16.5703125" style="14" bestFit="1" customWidth="1"/>
    <col min="15375" max="15375" width="1.85546875" style="14" customWidth="1"/>
    <col min="15376" max="15378" width="14.140625" style="14" bestFit="1" customWidth="1"/>
    <col min="15379" max="15379" width="9.5703125" style="14" customWidth="1"/>
    <col min="15380" max="15380" width="14.140625" style="14" bestFit="1" customWidth="1"/>
    <col min="15381" max="15381" width="11" style="14" bestFit="1" customWidth="1"/>
    <col min="15382" max="15382" width="11.42578125" style="14" customWidth="1"/>
    <col min="15383" max="15383" width="1.5703125" style="14" customWidth="1"/>
    <col min="15384" max="15384" width="16.5703125" style="14" bestFit="1" customWidth="1"/>
    <col min="15385" max="15385" width="1.5703125" style="14" customWidth="1"/>
    <col min="15386" max="15386" width="11.28515625" style="14" customWidth="1"/>
    <col min="15387" max="15387" width="0.85546875" style="14" customWidth="1"/>
    <col min="15388" max="15388" width="16.5703125" style="14" bestFit="1" customWidth="1"/>
    <col min="15389" max="15397" width="11.7109375" style="14" customWidth="1"/>
    <col min="15398" max="15616" width="17.28515625" style="14"/>
    <col min="15617" max="15617" width="4" style="14" customWidth="1"/>
    <col min="15618" max="15618" width="32.5703125" style="14" customWidth="1"/>
    <col min="15619" max="15619" width="10.7109375" style="14" bestFit="1" customWidth="1"/>
    <col min="15620" max="15620" width="20.85546875" style="14" customWidth="1"/>
    <col min="15621" max="15621" width="18" style="14" customWidth="1"/>
    <col min="15622" max="15622" width="2" style="14" customWidth="1"/>
    <col min="15623" max="15623" width="16.5703125" style="14" bestFit="1" customWidth="1"/>
    <col min="15624" max="15624" width="13.85546875" style="14" bestFit="1" customWidth="1"/>
    <col min="15625" max="15625" width="18.7109375" style="14" bestFit="1" customWidth="1"/>
    <col min="15626" max="15626" width="14.140625" style="14" bestFit="1" customWidth="1"/>
    <col min="15627" max="15627" width="12" style="14" bestFit="1" customWidth="1"/>
    <col min="15628" max="15628" width="16.5703125" style="14" bestFit="1" customWidth="1"/>
    <col min="15629" max="15629" width="14.140625" style="14" bestFit="1" customWidth="1"/>
    <col min="15630" max="15630" width="16.5703125" style="14" bestFit="1" customWidth="1"/>
    <col min="15631" max="15631" width="1.85546875" style="14" customWidth="1"/>
    <col min="15632" max="15634" width="14.140625" style="14" bestFit="1" customWidth="1"/>
    <col min="15635" max="15635" width="9.5703125" style="14" customWidth="1"/>
    <col min="15636" max="15636" width="14.140625" style="14" bestFit="1" customWidth="1"/>
    <col min="15637" max="15637" width="11" style="14" bestFit="1" customWidth="1"/>
    <col min="15638" max="15638" width="11.42578125" style="14" customWidth="1"/>
    <col min="15639" max="15639" width="1.5703125" style="14" customWidth="1"/>
    <col min="15640" max="15640" width="16.5703125" style="14" bestFit="1" customWidth="1"/>
    <col min="15641" max="15641" width="1.5703125" style="14" customWidth="1"/>
    <col min="15642" max="15642" width="11.28515625" style="14" customWidth="1"/>
    <col min="15643" max="15643" width="0.85546875" style="14" customWidth="1"/>
    <col min="15644" max="15644" width="16.5703125" style="14" bestFit="1" customWidth="1"/>
    <col min="15645" max="15653" width="11.7109375" style="14" customWidth="1"/>
    <col min="15654" max="15872" width="17.28515625" style="14"/>
    <col min="15873" max="15873" width="4" style="14" customWidth="1"/>
    <col min="15874" max="15874" width="32.5703125" style="14" customWidth="1"/>
    <col min="15875" max="15875" width="10.7109375" style="14" bestFit="1" customWidth="1"/>
    <col min="15876" max="15876" width="20.85546875" style="14" customWidth="1"/>
    <col min="15877" max="15877" width="18" style="14" customWidth="1"/>
    <col min="15878" max="15878" width="2" style="14" customWidth="1"/>
    <col min="15879" max="15879" width="16.5703125" style="14" bestFit="1" customWidth="1"/>
    <col min="15880" max="15880" width="13.85546875" style="14" bestFit="1" customWidth="1"/>
    <col min="15881" max="15881" width="18.7109375" style="14" bestFit="1" customWidth="1"/>
    <col min="15882" max="15882" width="14.140625" style="14" bestFit="1" customWidth="1"/>
    <col min="15883" max="15883" width="12" style="14" bestFit="1" customWidth="1"/>
    <col min="15884" max="15884" width="16.5703125" style="14" bestFit="1" customWidth="1"/>
    <col min="15885" max="15885" width="14.140625" style="14" bestFit="1" customWidth="1"/>
    <col min="15886" max="15886" width="16.5703125" style="14" bestFit="1" customWidth="1"/>
    <col min="15887" max="15887" width="1.85546875" style="14" customWidth="1"/>
    <col min="15888" max="15890" width="14.140625" style="14" bestFit="1" customWidth="1"/>
    <col min="15891" max="15891" width="9.5703125" style="14" customWidth="1"/>
    <col min="15892" max="15892" width="14.140625" style="14" bestFit="1" customWidth="1"/>
    <col min="15893" max="15893" width="11" style="14" bestFit="1" customWidth="1"/>
    <col min="15894" max="15894" width="11.42578125" style="14" customWidth="1"/>
    <col min="15895" max="15895" width="1.5703125" style="14" customWidth="1"/>
    <col min="15896" max="15896" width="16.5703125" style="14" bestFit="1" customWidth="1"/>
    <col min="15897" max="15897" width="1.5703125" style="14" customWidth="1"/>
    <col min="15898" max="15898" width="11.28515625" style="14" customWidth="1"/>
    <col min="15899" max="15899" width="0.85546875" style="14" customWidth="1"/>
    <col min="15900" max="15900" width="16.5703125" style="14" bestFit="1" customWidth="1"/>
    <col min="15901" max="15909" width="11.7109375" style="14" customWidth="1"/>
    <col min="15910" max="16128" width="17.28515625" style="14"/>
    <col min="16129" max="16129" width="4" style="14" customWidth="1"/>
    <col min="16130" max="16130" width="32.5703125" style="14" customWidth="1"/>
    <col min="16131" max="16131" width="10.7109375" style="14" bestFit="1" customWidth="1"/>
    <col min="16132" max="16132" width="20.85546875" style="14" customWidth="1"/>
    <col min="16133" max="16133" width="18" style="14" customWidth="1"/>
    <col min="16134" max="16134" width="2" style="14" customWidth="1"/>
    <col min="16135" max="16135" width="16.5703125" style="14" bestFit="1" customWidth="1"/>
    <col min="16136" max="16136" width="13.85546875" style="14" bestFit="1" customWidth="1"/>
    <col min="16137" max="16137" width="18.7109375" style="14" bestFit="1" customWidth="1"/>
    <col min="16138" max="16138" width="14.140625" style="14" bestFit="1" customWidth="1"/>
    <col min="16139" max="16139" width="12" style="14" bestFit="1" customWidth="1"/>
    <col min="16140" max="16140" width="16.5703125" style="14" bestFit="1" customWidth="1"/>
    <col min="16141" max="16141" width="14.140625" style="14" bestFit="1" customWidth="1"/>
    <col min="16142" max="16142" width="16.5703125" style="14" bestFit="1" customWidth="1"/>
    <col min="16143" max="16143" width="1.85546875" style="14" customWidth="1"/>
    <col min="16144" max="16146" width="14.140625" style="14" bestFit="1" customWidth="1"/>
    <col min="16147" max="16147" width="9.5703125" style="14" customWidth="1"/>
    <col min="16148" max="16148" width="14.140625" style="14" bestFit="1" customWidth="1"/>
    <col min="16149" max="16149" width="11" style="14" bestFit="1" customWidth="1"/>
    <col min="16150" max="16150" width="11.42578125" style="14" customWidth="1"/>
    <col min="16151" max="16151" width="1.5703125" style="14" customWidth="1"/>
    <col min="16152" max="16152" width="16.5703125" style="14" bestFit="1" customWidth="1"/>
    <col min="16153" max="16153" width="1.5703125" style="14" customWidth="1"/>
    <col min="16154" max="16154" width="11.28515625" style="14" customWidth="1"/>
    <col min="16155" max="16155" width="0.85546875" style="14" customWidth="1"/>
    <col min="16156" max="16156" width="16.5703125" style="14" bestFit="1" customWidth="1"/>
    <col min="16157" max="16165" width="11.7109375" style="14" customWidth="1"/>
    <col min="16166" max="16384" width="17.28515625" style="14"/>
  </cols>
  <sheetData>
    <row r="1" spans="1:37" s="3" customFormat="1" ht="104.25" customHeight="1" x14ac:dyDescent="0.25">
      <c r="A1" s="1"/>
      <c r="B1" s="1"/>
      <c r="C1" s="2"/>
      <c r="D1" s="2"/>
      <c r="E1" s="1"/>
      <c r="F1" s="1"/>
      <c r="G1" s="1"/>
      <c r="H1" s="153"/>
      <c r="I1" s="154"/>
      <c r="J1" s="154"/>
      <c r="K1" s="154"/>
      <c r="L1" s="154"/>
      <c r="M1" s="154"/>
      <c r="N1" s="154"/>
      <c r="O1" s="1"/>
      <c r="P1" s="1"/>
      <c r="Q1" s="1"/>
      <c r="R1" s="1"/>
      <c r="S1" s="1"/>
      <c r="T1" s="1"/>
      <c r="U1" s="1"/>
      <c r="V1" s="1"/>
      <c r="W1" s="1"/>
      <c r="X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18" x14ac:dyDescent="0.25">
      <c r="A2" s="1"/>
      <c r="B2" s="1"/>
      <c r="C2" s="2"/>
      <c r="D2" s="2"/>
      <c r="E2" s="1"/>
      <c r="F2" s="1"/>
      <c r="G2" s="1"/>
      <c r="H2" s="4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9" customFormat="1" ht="20.25" customHeight="1" x14ac:dyDescent="0.25">
      <c r="A3" s="5"/>
      <c r="B3" s="160" t="s">
        <v>0</v>
      </c>
      <c r="C3" s="160"/>
      <c r="D3" s="160"/>
      <c r="E3" s="160"/>
      <c r="F3" s="5"/>
      <c r="G3" s="5"/>
      <c r="H3" s="5"/>
      <c r="I3" s="5"/>
      <c r="J3" s="5"/>
      <c r="K3" s="5"/>
      <c r="L3" s="6"/>
      <c r="M3" s="7"/>
      <c r="N3" s="8"/>
      <c r="O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8.75" x14ac:dyDescent="0.25">
      <c r="A4" s="10"/>
      <c r="B4" s="11" t="s">
        <v>1</v>
      </c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8.75" x14ac:dyDescent="0.25">
      <c r="A5" s="10"/>
      <c r="B5" s="15"/>
      <c r="C5" s="16"/>
      <c r="D5" s="1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7"/>
      <c r="AA5" s="17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6.25" customHeight="1" x14ac:dyDescent="0.25">
      <c r="A6" s="10"/>
      <c r="B6" s="18" t="s">
        <v>2</v>
      </c>
      <c r="C6" s="16"/>
      <c r="D6" s="16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15.75" customHeight="1" x14ac:dyDescent="0.25">
      <c r="A7" s="10"/>
      <c r="B7" s="18"/>
      <c r="C7" s="16"/>
      <c r="D7" s="1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37" ht="18" x14ac:dyDescent="0.25">
      <c r="A8" s="19" t="s">
        <v>3</v>
      </c>
      <c r="B8" s="137" t="s">
        <v>4</v>
      </c>
      <c r="C8" s="138"/>
      <c r="D8" s="138"/>
      <c r="E8" s="139"/>
      <c r="F8" s="10"/>
      <c r="G8" s="137" t="s">
        <v>5</v>
      </c>
      <c r="H8" s="138"/>
      <c r="I8" s="138"/>
      <c r="J8" s="138"/>
      <c r="K8" s="138"/>
      <c r="L8" s="138"/>
      <c r="M8" s="138"/>
      <c r="N8" s="139"/>
      <c r="O8" s="10"/>
      <c r="P8" s="137" t="s">
        <v>6</v>
      </c>
      <c r="Q8" s="138"/>
      <c r="R8" s="138"/>
      <c r="S8" s="138"/>
      <c r="T8" s="138"/>
      <c r="U8" s="138"/>
      <c r="V8" s="139"/>
      <c r="W8" s="10"/>
      <c r="Y8" s="10"/>
      <c r="Z8" s="10"/>
      <c r="AA8" s="10"/>
      <c r="AB8" s="10"/>
      <c r="AC8" s="10"/>
    </row>
    <row r="9" spans="1:37" ht="18" hidden="1" x14ac:dyDescent="0.25">
      <c r="A9" s="16"/>
      <c r="B9" s="20"/>
      <c r="C9" s="21"/>
      <c r="D9" s="21"/>
      <c r="E9" s="22"/>
      <c r="F9" s="16"/>
      <c r="G9" s="20"/>
      <c r="H9" s="21"/>
      <c r="I9" s="23">
        <v>1.25</v>
      </c>
      <c r="J9" s="23">
        <v>1.35</v>
      </c>
      <c r="K9" s="23">
        <f>((850*0.35)/30/8)</f>
        <v>1.2395833333333333</v>
      </c>
      <c r="L9" s="21"/>
      <c r="M9" s="21"/>
      <c r="N9" s="22"/>
      <c r="O9" s="16"/>
      <c r="P9" s="24">
        <f>1/12</f>
        <v>8.3333333333333329E-2</v>
      </c>
      <c r="Q9" s="25">
        <v>0.16670000000000001</v>
      </c>
      <c r="R9" s="25">
        <v>9.7199999999999995E-2</v>
      </c>
      <c r="S9" s="25">
        <v>7.2222222222222202E-2</v>
      </c>
      <c r="T9" s="25">
        <v>0.09</v>
      </c>
      <c r="U9" s="21"/>
      <c r="V9" s="22">
        <f>+(0.78%+0.87%)</f>
        <v>1.6500000000000001E-2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spans="1:37" ht="54" x14ac:dyDescent="0.25">
      <c r="A10" s="26"/>
      <c r="B10" s="27" t="s">
        <v>7</v>
      </c>
      <c r="C10" s="140" t="s">
        <v>8</v>
      </c>
      <c r="D10" s="141"/>
      <c r="E10" s="28" t="s">
        <v>9</v>
      </c>
      <c r="F10" s="29"/>
      <c r="G10" s="30" t="s">
        <v>10</v>
      </c>
      <c r="H10" s="30" t="s">
        <v>11</v>
      </c>
      <c r="I10" s="31" t="s">
        <v>12</v>
      </c>
      <c r="J10" s="31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2"/>
      <c r="P10" s="30" t="s">
        <v>18</v>
      </c>
      <c r="Q10" s="30" t="s">
        <v>19</v>
      </c>
      <c r="R10" s="30" t="s">
        <v>20</v>
      </c>
      <c r="S10" s="30" t="s">
        <v>21</v>
      </c>
      <c r="T10" s="30" t="s">
        <v>22</v>
      </c>
      <c r="U10" s="30" t="s">
        <v>23</v>
      </c>
      <c r="V10" s="30" t="s">
        <v>24</v>
      </c>
      <c r="W10" s="32"/>
      <c r="X10" s="33" t="s">
        <v>25</v>
      </c>
      <c r="Y10" s="10"/>
      <c r="Z10" s="34" t="s">
        <v>26</v>
      </c>
      <c r="AA10" s="10"/>
      <c r="AB10" s="35" t="s">
        <v>27</v>
      </c>
      <c r="AC10" s="10"/>
    </row>
    <row r="11" spans="1:37" ht="18" x14ac:dyDescent="0.25">
      <c r="A11" s="26"/>
      <c r="B11" s="36" t="s">
        <v>28</v>
      </c>
      <c r="C11" s="37">
        <v>1</v>
      </c>
      <c r="D11" s="38" t="s">
        <v>29</v>
      </c>
      <c r="E11" s="39" t="s">
        <v>30</v>
      </c>
      <c r="F11" s="10"/>
      <c r="G11" s="40">
        <v>930</v>
      </c>
      <c r="H11" s="40">
        <v>93</v>
      </c>
      <c r="I11" s="40">
        <v>0</v>
      </c>
      <c r="J11" s="40">
        <v>0</v>
      </c>
      <c r="K11" s="40">
        <f>((((G11*1.35)/30)/8)*30*0)-(G11*0)</f>
        <v>0</v>
      </c>
      <c r="L11" s="40">
        <f>SUM(G11:K11)</f>
        <v>1023</v>
      </c>
      <c r="M11" s="40">
        <v>50</v>
      </c>
      <c r="N11" s="40">
        <f>+M11+H11+I11+J11+G11+K11</f>
        <v>1073</v>
      </c>
      <c r="O11" s="41"/>
      <c r="P11" s="40">
        <f>L11*$P$9</f>
        <v>85.25</v>
      </c>
      <c r="Q11" s="40">
        <f>(L11*1.09)*Q9</f>
        <v>185.88216900000003</v>
      </c>
      <c r="R11" s="40">
        <f>L11*$R$9</f>
        <v>99.435599999999994</v>
      </c>
      <c r="S11" s="40">
        <v>0</v>
      </c>
      <c r="T11" s="40">
        <f>(L11+P11+Q11+S11)*$T$9</f>
        <v>116.47189521</v>
      </c>
      <c r="U11" s="40">
        <v>2.86</v>
      </c>
      <c r="V11" s="40">
        <v>6.78</v>
      </c>
      <c r="W11" s="42"/>
      <c r="X11" s="43">
        <f>N11+P11+Q11+R11+S11+T11+U11+V11</f>
        <v>1569.6796642099998</v>
      </c>
      <c r="Y11" s="10"/>
      <c r="Z11" s="44">
        <v>2</v>
      </c>
      <c r="AA11" s="10"/>
      <c r="AB11" s="40">
        <f>X11*Z11</f>
        <v>3139.3593284199997</v>
      </c>
      <c r="AC11" s="10"/>
    </row>
    <row r="12" spans="1:37" ht="16.5" customHeight="1" thickBot="1" x14ac:dyDescent="0.3">
      <c r="A12" s="10"/>
      <c r="B12" s="1"/>
      <c r="C12" s="45"/>
      <c r="D12" s="2"/>
      <c r="E12" s="45"/>
      <c r="F12" s="10"/>
      <c r="G12" s="46">
        <f t="shared" ref="G12:N12" si="0">SUM(G11:G11)</f>
        <v>930</v>
      </c>
      <c r="H12" s="46"/>
      <c r="I12" s="46">
        <f t="shared" si="0"/>
        <v>0</v>
      </c>
      <c r="J12" s="46">
        <f t="shared" si="0"/>
        <v>0</v>
      </c>
      <c r="K12" s="46">
        <f t="shared" si="0"/>
        <v>0</v>
      </c>
      <c r="L12" s="46">
        <f t="shared" si="0"/>
        <v>1023</v>
      </c>
      <c r="M12" s="46">
        <f t="shared" si="0"/>
        <v>50</v>
      </c>
      <c r="N12" s="46">
        <f t="shared" si="0"/>
        <v>1073</v>
      </c>
      <c r="O12" s="47"/>
      <c r="P12" s="46">
        <f t="shared" ref="P12:V12" si="1">SUM(P11:P11)</f>
        <v>85.25</v>
      </c>
      <c r="Q12" s="46">
        <f t="shared" si="1"/>
        <v>185.88216900000003</v>
      </c>
      <c r="R12" s="46">
        <f t="shared" si="1"/>
        <v>99.435599999999994</v>
      </c>
      <c r="S12" s="46">
        <f t="shared" si="1"/>
        <v>0</v>
      </c>
      <c r="T12" s="46">
        <f t="shared" si="1"/>
        <v>116.47189521</v>
      </c>
      <c r="U12" s="46">
        <f t="shared" si="1"/>
        <v>2.86</v>
      </c>
      <c r="V12" s="46">
        <f t="shared" si="1"/>
        <v>6.78</v>
      </c>
      <c r="W12" s="48"/>
      <c r="X12" s="49">
        <f>SUM(X11:X11)</f>
        <v>1569.6796642099998</v>
      </c>
      <c r="Y12" s="26"/>
      <c r="Z12" s="48"/>
      <c r="AA12" s="26"/>
      <c r="AB12" s="50">
        <f>SUM(AB11:AB11)</f>
        <v>3139.3593284199997</v>
      </c>
      <c r="AC12" s="10"/>
      <c r="AD12" s="51"/>
    </row>
    <row r="13" spans="1:37" ht="15.75" customHeight="1" thickTop="1" x14ac:dyDescent="0.25">
      <c r="A13" s="10"/>
      <c r="B13" s="10"/>
      <c r="C13" s="16"/>
      <c r="D13" s="16"/>
      <c r="E13" s="10"/>
      <c r="F13" s="10"/>
      <c r="G13" s="10"/>
      <c r="H13" s="10"/>
      <c r="I13" s="4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41"/>
      <c r="AC13" s="10"/>
      <c r="AD13" s="51"/>
    </row>
    <row r="14" spans="1:37" ht="15" hidden="1" customHeight="1" x14ac:dyDescent="0.25">
      <c r="A14" s="19" t="s">
        <v>31</v>
      </c>
      <c r="B14" s="52" t="s">
        <v>32</v>
      </c>
      <c r="C14" s="53"/>
      <c r="D14" s="53"/>
      <c r="E14" s="54"/>
      <c r="F14" s="10"/>
      <c r="G14" s="142" t="s">
        <v>33</v>
      </c>
      <c r="H14" s="10"/>
      <c r="I14" s="10"/>
      <c r="J14" s="10"/>
      <c r="K14" s="55"/>
      <c r="L14" s="56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37" ht="15" hidden="1" customHeight="1" x14ac:dyDescent="0.25">
      <c r="A15" s="19"/>
      <c r="B15" s="57"/>
      <c r="C15" s="58" t="s">
        <v>34</v>
      </c>
      <c r="D15" s="59" t="s">
        <v>35</v>
      </c>
      <c r="E15" s="60"/>
      <c r="F15" s="10"/>
      <c r="G15" s="143"/>
      <c r="H15" s="61"/>
      <c r="I15" s="61"/>
      <c r="J15" s="62"/>
      <c r="K15" s="61"/>
      <c r="L15" s="10"/>
      <c r="M15" s="10"/>
      <c r="N15" s="63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37" ht="15" hidden="1" customHeight="1" x14ac:dyDescent="0.25">
      <c r="A16" s="10"/>
      <c r="B16" s="64"/>
      <c r="C16" s="65">
        <v>16</v>
      </c>
      <c r="D16" s="65" t="s">
        <v>36</v>
      </c>
      <c r="E16" s="66"/>
      <c r="F16" s="10"/>
      <c r="G16" s="40">
        <v>0</v>
      </c>
      <c r="H16" s="1"/>
      <c r="I16" s="64"/>
      <c r="J16" s="64"/>
      <c r="K16" s="10"/>
      <c r="L16" s="67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68"/>
      <c r="Y16" s="10"/>
      <c r="Z16" s="10"/>
      <c r="AA16" s="10"/>
      <c r="AB16" s="10"/>
      <c r="AC16" s="10"/>
    </row>
    <row r="17" spans="1:29" ht="18" hidden="1" x14ac:dyDescent="0.25">
      <c r="A17" s="10"/>
      <c r="B17" s="10" t="s">
        <v>37</v>
      </c>
      <c r="C17" s="16"/>
      <c r="D17" s="16"/>
      <c r="E17" s="69"/>
      <c r="F17" s="10"/>
      <c r="G17" s="47">
        <f>SUM(G16:G16)</f>
        <v>0</v>
      </c>
      <c r="H17" s="61"/>
      <c r="I17" s="10"/>
      <c r="J17" s="1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10"/>
    </row>
    <row r="18" spans="1:29" ht="18" x14ac:dyDescent="0.25">
      <c r="A18" s="10"/>
      <c r="B18" s="10"/>
      <c r="C18" s="16"/>
      <c r="D18" s="16"/>
      <c r="E18" s="69"/>
      <c r="F18" s="10"/>
      <c r="G18" s="47"/>
      <c r="H18" s="61"/>
      <c r="I18" s="41"/>
      <c r="J18" s="10"/>
      <c r="K18" s="70"/>
      <c r="L18" s="70"/>
      <c r="M18" s="70"/>
      <c r="N18" s="70"/>
      <c r="O18" s="70"/>
      <c r="P18" s="70"/>
      <c r="Q18" s="70"/>
      <c r="R18" s="70"/>
      <c r="S18" s="7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ht="18" x14ac:dyDescent="0.25">
      <c r="A19" s="10"/>
      <c r="B19" s="10"/>
      <c r="C19" s="16"/>
      <c r="D19" s="16"/>
      <c r="E19" s="69"/>
      <c r="F19" s="10"/>
      <c r="G19" s="47"/>
      <c r="H19" s="61"/>
      <c r="I19" s="41"/>
      <c r="J19" s="41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10"/>
    </row>
    <row r="20" spans="1:29" ht="18" x14ac:dyDescent="0.25">
      <c r="A20" s="19" t="s">
        <v>31</v>
      </c>
      <c r="B20" s="71" t="s">
        <v>32</v>
      </c>
      <c r="C20" s="72"/>
      <c r="D20" s="73"/>
      <c r="E20" s="74"/>
      <c r="F20" s="10"/>
      <c r="G20" s="75" t="s">
        <v>33</v>
      </c>
      <c r="H20" s="61"/>
      <c r="I20" s="76"/>
      <c r="J20" s="76"/>
      <c r="K20" s="5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10"/>
    </row>
    <row r="21" spans="1:29" ht="18" x14ac:dyDescent="0.25">
      <c r="A21" s="10"/>
      <c r="B21" s="147" t="s">
        <v>38</v>
      </c>
      <c r="C21" s="148"/>
      <c r="D21" s="148"/>
      <c r="E21" s="149"/>
      <c r="F21" s="10"/>
      <c r="G21" s="77">
        <f>'[1]Materiales Amb 1'!F68</f>
        <v>711.12833333333344</v>
      </c>
      <c r="H21" s="61"/>
      <c r="I21" s="10"/>
      <c r="J21" s="1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10"/>
    </row>
    <row r="22" spans="1:29" ht="18" x14ac:dyDescent="0.25">
      <c r="A22" s="10"/>
      <c r="B22" s="78" t="s">
        <v>39</v>
      </c>
      <c r="C22" s="79"/>
      <c r="D22" s="79"/>
      <c r="E22" s="80"/>
      <c r="F22" s="10"/>
      <c r="G22" s="77">
        <f>'[1]Materiales Amb 1'!F75</f>
        <v>0</v>
      </c>
      <c r="H22" s="61"/>
      <c r="I22" s="10"/>
      <c r="J22" s="1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10"/>
    </row>
    <row r="23" spans="1:29" ht="18" x14ac:dyDescent="0.25">
      <c r="A23" s="10"/>
      <c r="B23" s="10"/>
      <c r="C23" s="16"/>
      <c r="D23" s="16"/>
      <c r="E23" s="69"/>
      <c r="F23" s="10"/>
      <c r="G23" s="47">
        <f>SUM(G21:G22)</f>
        <v>711.12833333333344</v>
      </c>
      <c r="H23" s="61"/>
      <c r="I23" s="10"/>
      <c r="J23" s="1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10"/>
    </row>
    <row r="24" spans="1:29" ht="18" x14ac:dyDescent="0.25">
      <c r="A24" s="10"/>
      <c r="B24" s="10"/>
      <c r="C24" s="16"/>
      <c r="D24" s="16"/>
      <c r="E24" s="69"/>
      <c r="F24" s="10"/>
      <c r="G24" s="47"/>
      <c r="H24" s="61"/>
      <c r="I24" s="10"/>
      <c r="J24" s="10"/>
      <c r="K24" s="70"/>
      <c r="L24" s="70"/>
      <c r="M24" s="70"/>
      <c r="N24" s="70"/>
      <c r="O24" s="70"/>
      <c r="P24" s="70"/>
      <c r="Q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10"/>
    </row>
    <row r="25" spans="1:29" ht="16.5" customHeight="1" x14ac:dyDescent="0.25">
      <c r="A25" s="10"/>
      <c r="B25" s="10"/>
      <c r="C25" s="16"/>
      <c r="D25" s="16"/>
      <c r="E25" s="69"/>
      <c r="F25" s="10"/>
      <c r="G25" s="81"/>
      <c r="H25" s="61"/>
      <c r="I25" s="26"/>
      <c r="J25" s="26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10"/>
    </row>
    <row r="26" spans="1:29" ht="16.5" customHeight="1" x14ac:dyDescent="0.25">
      <c r="A26" s="10"/>
      <c r="B26" s="10"/>
      <c r="C26" s="16"/>
      <c r="D26" s="16"/>
      <c r="E26" s="69"/>
      <c r="F26" s="10"/>
      <c r="G26" s="81"/>
      <c r="H26" s="61"/>
      <c r="I26" s="26"/>
      <c r="J26" s="26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10"/>
    </row>
    <row r="27" spans="1:29" ht="18" x14ac:dyDescent="0.25">
      <c r="A27" s="19" t="s">
        <v>31</v>
      </c>
      <c r="B27" s="82" t="s">
        <v>40</v>
      </c>
      <c r="C27" s="72"/>
      <c r="D27" s="72"/>
      <c r="E27" s="74"/>
      <c r="F27" s="10"/>
      <c r="G27" s="75" t="s">
        <v>33</v>
      </c>
      <c r="H27" s="61"/>
      <c r="I27" s="83"/>
      <c r="J27" s="83"/>
      <c r="K27" s="55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10"/>
    </row>
    <row r="28" spans="1:29" ht="15.75" customHeight="1" x14ac:dyDescent="0.25">
      <c r="A28" s="19"/>
      <c r="B28" s="84"/>
      <c r="C28" s="85">
        <v>1</v>
      </c>
      <c r="D28" s="144" t="s">
        <v>41</v>
      </c>
      <c r="E28" s="145"/>
      <c r="F28" s="10"/>
      <c r="G28" s="77">
        <f>((AB12+G23)*(0.2/365)*90)</f>
        <v>189.88706277139727</v>
      </c>
      <c r="H28" s="61"/>
      <c r="I28" s="83"/>
      <c r="J28" s="83"/>
      <c r="K28" s="55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10"/>
    </row>
    <row r="29" spans="1:29" ht="15.75" customHeight="1" x14ac:dyDescent="0.25">
      <c r="A29" s="19"/>
      <c r="B29" s="84"/>
      <c r="C29" s="86">
        <v>1</v>
      </c>
      <c r="D29" s="146" t="s">
        <v>42</v>
      </c>
      <c r="E29" s="146"/>
      <c r="F29" s="10"/>
      <c r="G29" s="77">
        <f>[1]CAdmL!F32</f>
        <v>258.29999999999995</v>
      </c>
      <c r="H29" s="87"/>
      <c r="I29" s="83"/>
      <c r="J29" s="83"/>
      <c r="K29" s="55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10"/>
    </row>
    <row r="30" spans="1:29" ht="15.75" customHeight="1" x14ac:dyDescent="0.25">
      <c r="A30" s="19"/>
      <c r="B30" s="84"/>
      <c r="C30" s="16"/>
      <c r="D30" s="16"/>
      <c r="E30" s="84"/>
      <c r="F30" s="10"/>
      <c r="G30" s="47">
        <f>SUM(G28:G29)</f>
        <v>448.18706277139722</v>
      </c>
      <c r="H30" s="88"/>
      <c r="I30" s="83"/>
      <c r="J30" s="83"/>
      <c r="K30" s="55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10"/>
    </row>
    <row r="31" spans="1:29" ht="15.75" customHeight="1" x14ac:dyDescent="0.25">
      <c r="A31" s="19"/>
      <c r="B31" s="89"/>
      <c r="C31" s="16"/>
      <c r="D31" s="16"/>
      <c r="E31" s="89"/>
      <c r="F31" s="10"/>
      <c r="G31" s="81"/>
      <c r="H31" s="88"/>
      <c r="I31" s="83"/>
      <c r="J31" s="83"/>
      <c r="K31" s="5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10"/>
    </row>
    <row r="32" spans="1:29" ht="15.75" customHeight="1" x14ac:dyDescent="0.25">
      <c r="A32" s="19" t="s">
        <v>43</v>
      </c>
      <c r="B32" s="90" t="s">
        <v>44</v>
      </c>
      <c r="C32" s="91">
        <f>[1]Propuesta!U42</f>
        <v>6.5420560747663559E-2</v>
      </c>
      <c r="D32" s="92"/>
      <c r="E32" s="93"/>
      <c r="F32" s="10"/>
      <c r="G32" s="94">
        <f>(AB12+G23+G30)*H32</f>
        <v>300.90723071673119</v>
      </c>
      <c r="H32" s="88">
        <v>7.0000000000000007E-2</v>
      </c>
      <c r="I32" s="83"/>
      <c r="J32" s="83"/>
      <c r="K32" s="55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10"/>
    </row>
    <row r="33" spans="1:37" ht="18" x14ac:dyDescent="0.25">
      <c r="A33" s="10"/>
      <c r="B33" s="10"/>
      <c r="C33" s="16"/>
      <c r="D33" s="16"/>
      <c r="E33" s="10"/>
      <c r="F33" s="10"/>
      <c r="G33" s="41"/>
      <c r="H33" s="95"/>
      <c r="I33" s="83"/>
      <c r="J33" s="83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10"/>
    </row>
    <row r="34" spans="1:37" ht="17.25" customHeight="1" x14ac:dyDescent="0.25">
      <c r="A34" s="10"/>
      <c r="B34" s="156" t="s">
        <v>45</v>
      </c>
      <c r="C34" s="156"/>
      <c r="D34" s="156"/>
      <c r="E34" s="156"/>
      <c r="F34" s="2"/>
      <c r="G34" s="96">
        <f>AB12+G23+G30+G32</f>
        <v>4599.5819552414614</v>
      </c>
      <c r="H34" s="97"/>
      <c r="I34" s="98"/>
      <c r="J34" s="98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16"/>
    </row>
    <row r="35" spans="1:37" ht="18.75" thickBot="1" x14ac:dyDescent="0.3">
      <c r="A35" s="10"/>
      <c r="B35" s="10"/>
      <c r="C35" s="16"/>
      <c r="D35" s="1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spans="1:37" ht="18" customHeight="1" thickBot="1" x14ac:dyDescent="0.3">
      <c r="A36" s="10"/>
      <c r="B36" s="157" t="s">
        <v>46</v>
      </c>
      <c r="C36" s="158"/>
      <c r="D36" s="158"/>
      <c r="E36" s="158"/>
      <c r="F36" s="158"/>
      <c r="G36" s="15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7" ht="18" x14ac:dyDescent="0.25">
      <c r="A37" s="10"/>
      <c r="B37" s="150" t="s">
        <v>47</v>
      </c>
      <c r="C37" s="151"/>
      <c r="D37" s="151"/>
      <c r="E37" s="151"/>
      <c r="F37" s="151"/>
      <c r="G37" s="152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ht="18" x14ac:dyDescent="0.25">
      <c r="A38" s="10"/>
      <c r="B38" s="100" t="s">
        <v>48</v>
      </c>
      <c r="C38" s="69"/>
      <c r="D38" s="69"/>
      <c r="E38" s="69"/>
      <c r="F38" s="69"/>
      <c r="G38" s="10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 ht="18" x14ac:dyDescent="0.25">
      <c r="A39" s="10"/>
      <c r="B39" s="102" t="s">
        <v>49</v>
      </c>
      <c r="C39" s="16"/>
      <c r="D39" s="16"/>
      <c r="E39" s="10"/>
      <c r="F39" s="10"/>
      <c r="G39" s="103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7" ht="18.75" thickBot="1" x14ac:dyDescent="0.3">
      <c r="A40" s="10"/>
      <c r="B40" s="104" t="s">
        <v>50</v>
      </c>
      <c r="C40" s="105"/>
      <c r="D40" s="105"/>
      <c r="E40" s="106"/>
      <c r="F40" s="106"/>
      <c r="G40" s="107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7" ht="18" x14ac:dyDescent="0.25">
      <c r="A41" s="10"/>
      <c r="B41" s="10"/>
      <c r="C41" s="16"/>
      <c r="D41" s="16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7" ht="18" x14ac:dyDescent="0.25">
      <c r="A42" s="10"/>
      <c r="B42" s="108"/>
      <c r="C42" s="16"/>
      <c r="D42" s="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ht="18" x14ac:dyDescent="0.25">
      <c r="A43" s="10"/>
      <c r="B43" s="108"/>
      <c r="C43" s="16"/>
      <c r="D43" s="1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ht="18" x14ac:dyDescent="0.25">
      <c r="A44" s="10"/>
      <c r="B44" s="10"/>
      <c r="C44" s="16"/>
      <c r="D44" s="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 t="s">
        <v>51</v>
      </c>
      <c r="AF44" s="10"/>
      <c r="AG44" s="10"/>
      <c r="AH44" s="10"/>
      <c r="AI44" s="10"/>
      <c r="AJ44" s="10"/>
      <c r="AK44" s="10"/>
    </row>
    <row r="45" spans="1:37" ht="18" x14ac:dyDescent="0.25">
      <c r="A45" s="10"/>
      <c r="B45" s="10"/>
      <c r="C45" s="16"/>
      <c r="D45" s="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8" x14ac:dyDescent="0.25">
      <c r="A46" s="10"/>
      <c r="B46" s="10"/>
      <c r="C46" s="16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spans="1:37" ht="6.75" customHeight="1" x14ac:dyDescent="0.25">
      <c r="A47" s="10"/>
      <c r="B47" s="10"/>
      <c r="C47" s="16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 t="s">
        <v>52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37" ht="18" x14ac:dyDescent="0.25">
      <c r="A48" s="10"/>
      <c r="B48" s="10"/>
      <c r="C48" s="16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ht="18" x14ac:dyDescent="0.25">
      <c r="A49" s="10"/>
      <c r="B49" s="10"/>
      <c r="C49" s="16"/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ht="18" x14ac:dyDescent="0.25">
      <c r="A50" s="10"/>
      <c r="B50" s="10"/>
      <c r="C50" s="16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ht="18" x14ac:dyDescent="0.25">
      <c r="A51" s="10"/>
      <c r="B51" s="10"/>
      <c r="C51" s="16"/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ht="14.25" customHeight="1" x14ac:dyDescent="0.25">
      <c r="A52" s="10"/>
      <c r="B52" s="10"/>
      <c r="C52" s="16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ht="10.5" customHeight="1" x14ac:dyDescent="0.25">
      <c r="A53" s="10"/>
      <c r="B53" s="10"/>
      <c r="C53" s="16"/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ht="18" x14ac:dyDescent="0.25">
      <c r="A54" s="10"/>
      <c r="B54" s="10"/>
      <c r="C54" s="16"/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 ht="18" x14ac:dyDescent="0.25">
      <c r="A55" s="10"/>
      <c r="B55" s="10"/>
      <c r="C55" s="16"/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ht="18" x14ac:dyDescent="0.25">
      <c r="A56" s="10"/>
      <c r="B56" s="10"/>
      <c r="C56" s="16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 ht="18" x14ac:dyDescent="0.25">
      <c r="A57" s="10"/>
      <c r="B57" s="10"/>
      <c r="C57" s="16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 ht="7.5" customHeight="1" x14ac:dyDescent="0.25">
      <c r="A58" s="10"/>
      <c r="B58" s="109"/>
      <c r="C58" s="16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 ht="51" customHeight="1" x14ac:dyDescent="0.25">
      <c r="A59" s="10"/>
      <c r="B59" s="10"/>
      <c r="C59" s="16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 ht="165.75" customHeight="1" x14ac:dyDescent="0.25">
      <c r="A60" s="10"/>
      <c r="B60" s="10"/>
      <c r="C60" s="16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8" x14ac:dyDescent="0.25">
      <c r="A61" s="10"/>
      <c r="B61" s="10"/>
      <c r="C61" s="16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ht="18" x14ac:dyDescent="0.25">
      <c r="A62" s="10"/>
      <c r="B62" s="10" t="s">
        <v>53</v>
      </c>
      <c r="C62" s="16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ht="18" x14ac:dyDescent="0.25">
      <c r="A63" s="10"/>
      <c r="B63" s="10"/>
      <c r="C63" s="16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spans="1:37" ht="18" x14ac:dyDescent="0.25">
      <c r="A64" s="10"/>
      <c r="B64" s="10"/>
      <c r="C64" s="16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spans="1:37" ht="18" x14ac:dyDescent="0.25">
      <c r="A65" s="10"/>
      <c r="B65" s="10"/>
      <c r="C65" s="16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spans="1:37" ht="18" x14ac:dyDescent="0.25">
      <c r="A66" s="10"/>
      <c r="B66" s="10"/>
      <c r="C66" s="16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spans="1:37" ht="18" x14ac:dyDescent="0.25">
      <c r="A67" s="10"/>
      <c r="B67" s="10"/>
      <c r="C67" s="16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spans="1:37" ht="18" x14ac:dyDescent="0.25">
      <c r="A68" s="10"/>
      <c r="B68" s="10"/>
      <c r="C68" s="16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ht="18" x14ac:dyDescent="0.25">
      <c r="A69" s="10"/>
      <c r="B69" s="10"/>
      <c r="C69" s="16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spans="1:37" ht="18" x14ac:dyDescent="0.25">
      <c r="A70" s="10"/>
      <c r="B70" s="10"/>
      <c r="C70" s="16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8" x14ac:dyDescent="0.25">
      <c r="A71" s="10"/>
      <c r="B71" s="10"/>
      <c r="C71" s="16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87.5" customHeight="1" x14ac:dyDescent="0.25">
      <c r="A72" s="10"/>
      <c r="B72" s="10"/>
      <c r="C72" s="16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8" x14ac:dyDescent="0.25">
      <c r="A73" s="10"/>
      <c r="B73" s="10"/>
      <c r="C73" s="16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8" x14ac:dyDescent="0.25">
      <c r="A74" s="10"/>
      <c r="B74" s="10"/>
      <c r="C74" s="16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ht="18" x14ac:dyDescent="0.25">
      <c r="A75" s="10"/>
      <c r="B75" s="10"/>
      <c r="C75" s="16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ht="139.5" customHeight="1" x14ac:dyDescent="0.25">
      <c r="A76" s="10"/>
      <c r="B76" s="10"/>
      <c r="C76" s="16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8" x14ac:dyDescent="0.25">
      <c r="A77" s="10"/>
      <c r="B77" s="10"/>
      <c r="C77" s="16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spans="1:37" ht="18" x14ac:dyDescent="0.25">
      <c r="A78" s="10"/>
      <c r="B78" s="10"/>
      <c r="C78" s="16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spans="1:37" ht="18" x14ac:dyDescent="0.25">
      <c r="A79" s="10"/>
      <c r="B79" s="10"/>
      <c r="C79" s="16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spans="1:37" ht="18" x14ac:dyDescent="0.25">
      <c r="A80" s="10"/>
      <c r="B80" s="10"/>
      <c r="C80" s="16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spans="1:37" ht="18" x14ac:dyDescent="0.25">
      <c r="A81" s="10"/>
      <c r="B81" s="10"/>
      <c r="C81" s="16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ht="18" x14ac:dyDescent="0.25">
      <c r="A82" s="10"/>
      <c r="B82" s="10"/>
      <c r="C82" s="16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spans="1:37" ht="18" x14ac:dyDescent="0.25">
      <c r="A83" s="10"/>
      <c r="B83" s="10"/>
      <c r="C83" s="16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spans="1:37" ht="18" x14ac:dyDescent="0.25">
      <c r="A84" s="10"/>
      <c r="B84" s="10"/>
      <c r="C84" s="16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spans="1:37" ht="18" x14ac:dyDescent="0.25">
      <c r="A85" s="10"/>
      <c r="B85" s="10"/>
      <c r="C85" s="16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ht="18" x14ac:dyDescent="0.25">
      <c r="A86" s="10"/>
      <c r="B86" s="10"/>
      <c r="C86" s="16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spans="1:37" ht="18" x14ac:dyDescent="0.25">
      <c r="A87" s="10"/>
      <c r="B87" s="10"/>
      <c r="C87" s="16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spans="1:37" ht="18" x14ac:dyDescent="0.25">
      <c r="A88" s="10"/>
      <c r="B88" s="10"/>
      <c r="C88" s="16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spans="1:37" ht="18" x14ac:dyDescent="0.25">
      <c r="A89" s="10"/>
      <c r="B89" s="10"/>
      <c r="C89" s="16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spans="1:37" ht="18" x14ac:dyDescent="0.25">
      <c r="A90" s="10"/>
      <c r="B90" s="10"/>
      <c r="C90" s="16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spans="1:37" ht="18" x14ac:dyDescent="0.25">
      <c r="A91" s="10"/>
      <c r="B91" s="10"/>
      <c r="C91" s="16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spans="1:37" ht="18" x14ac:dyDescent="0.25">
      <c r="A92" s="10"/>
      <c r="B92" s="10"/>
      <c r="C92" s="16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spans="1:37" ht="18" x14ac:dyDescent="0.25">
      <c r="A93" s="10"/>
      <c r="B93" s="10"/>
      <c r="C93" s="16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spans="1:37" ht="18" x14ac:dyDescent="0.25">
      <c r="A94" s="10"/>
      <c r="B94" s="10"/>
      <c r="C94" s="16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spans="1:37" ht="18" x14ac:dyDescent="0.25">
      <c r="A95" s="10"/>
      <c r="B95" s="10"/>
      <c r="C95" s="16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spans="1:37" ht="18" x14ac:dyDescent="0.25">
      <c r="A96" s="10"/>
      <c r="B96" s="10"/>
      <c r="C96" s="16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spans="1:37" ht="18" x14ac:dyDescent="0.25">
      <c r="A97" s="10"/>
      <c r="B97" s="10"/>
      <c r="C97" s="16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spans="1:37" ht="18" x14ac:dyDescent="0.25">
      <c r="A98" s="10"/>
      <c r="B98" s="10"/>
      <c r="C98" s="16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spans="1:37" ht="23.25" customHeight="1" x14ac:dyDescent="0.25">
      <c r="A99" s="10"/>
      <c r="B99" s="10"/>
      <c r="C99" s="16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spans="1:37" ht="18" x14ac:dyDescent="0.25">
      <c r="A100" s="10"/>
      <c r="B100" s="10"/>
      <c r="C100" s="16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spans="1:37" ht="18" x14ac:dyDescent="0.25">
      <c r="A101" s="10"/>
      <c r="B101" s="10"/>
      <c r="C101" s="16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spans="1:37" ht="18" x14ac:dyDescent="0.25">
      <c r="A102" s="10"/>
      <c r="B102" s="10"/>
      <c r="C102" s="16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spans="1:37" ht="18" x14ac:dyDescent="0.25">
      <c r="A103" s="10"/>
      <c r="B103" s="10"/>
      <c r="C103" s="16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spans="1:37" ht="18" x14ac:dyDescent="0.25">
      <c r="A104" s="10"/>
      <c r="B104" s="10"/>
      <c r="C104" s="16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spans="1:37" ht="18" x14ac:dyDescent="0.25">
      <c r="A105" s="10"/>
      <c r="B105" s="69"/>
      <c r="C105" s="69"/>
      <c r="D105" s="69"/>
      <c r="E105" s="69"/>
      <c r="F105" s="69"/>
      <c r="G105" s="69"/>
      <c r="H105" s="69"/>
      <c r="I105" s="6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spans="1:37" ht="18" x14ac:dyDescent="0.25">
      <c r="A106" s="10"/>
      <c r="B106" s="69"/>
      <c r="C106" s="69"/>
      <c r="D106" s="69"/>
      <c r="E106" s="69"/>
      <c r="F106" s="69"/>
      <c r="G106" s="69"/>
      <c r="H106" s="69"/>
      <c r="I106" s="6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spans="1:37" ht="18" x14ac:dyDescent="0.25">
      <c r="A107" s="10"/>
      <c r="B107" s="10"/>
      <c r="C107" s="16"/>
      <c r="D107" s="16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spans="1:37" ht="18" x14ac:dyDescent="0.25">
      <c r="A108" s="10"/>
      <c r="B108" s="10"/>
      <c r="C108" s="16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spans="1:37" ht="18" x14ac:dyDescent="0.25">
      <c r="A109" s="10"/>
      <c r="B109" s="10"/>
      <c r="C109" s="16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spans="1:37" ht="18" x14ac:dyDescent="0.25">
      <c r="A110" s="10"/>
      <c r="B110" s="10"/>
      <c r="C110" s="16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spans="1:37" ht="18" x14ac:dyDescent="0.25">
      <c r="A111" s="10"/>
      <c r="B111" s="10"/>
      <c r="C111" s="16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spans="1:37" ht="18" x14ac:dyDescent="0.25">
      <c r="A112" s="10"/>
      <c r="B112" s="10"/>
      <c r="C112" s="16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spans="1:37" ht="18" x14ac:dyDescent="0.25">
      <c r="A113" s="10"/>
      <c r="B113" s="10"/>
      <c r="C113" s="16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spans="1:37" ht="18" x14ac:dyDescent="0.25">
      <c r="A114" s="10"/>
      <c r="B114" s="10"/>
      <c r="C114" s="16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spans="1:37" ht="18" x14ac:dyDescent="0.25">
      <c r="A115" s="10"/>
      <c r="B115" s="10"/>
      <c r="C115" s="16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spans="1:37" ht="18" x14ac:dyDescent="0.25">
      <c r="A116" s="10"/>
      <c r="B116" s="10"/>
      <c r="C116" s="16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spans="1:37" ht="18" x14ac:dyDescent="0.25">
      <c r="A117" s="10"/>
      <c r="B117" s="10"/>
      <c r="C117" s="16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spans="1:37" ht="18" x14ac:dyDescent="0.25">
      <c r="A118" s="10"/>
      <c r="B118" s="10"/>
      <c r="C118" s="16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spans="1:37" ht="18" x14ac:dyDescent="0.25">
      <c r="A119" s="10"/>
      <c r="B119" s="10"/>
      <c r="C119" s="16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spans="1:37" ht="18" x14ac:dyDescent="0.25">
      <c r="A120" s="10"/>
      <c r="B120" s="10"/>
      <c r="C120" s="16"/>
      <c r="D120" s="16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spans="1:37" ht="18" x14ac:dyDescent="0.25">
      <c r="A121" s="10"/>
      <c r="B121" s="10"/>
      <c r="C121" s="16"/>
      <c r="D121" s="16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spans="1:37" ht="18" x14ac:dyDescent="0.25">
      <c r="A122" s="10"/>
      <c r="B122" s="10"/>
      <c r="C122" s="16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spans="1:37" ht="18" x14ac:dyDescent="0.25">
      <c r="A123" s="10"/>
      <c r="B123" s="10"/>
      <c r="C123" s="16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spans="1:37" ht="18" x14ac:dyDescent="0.25">
      <c r="A124" s="10"/>
      <c r="B124" s="10"/>
      <c r="C124" s="16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spans="1:37" ht="18" x14ac:dyDescent="0.25">
      <c r="A125" s="10"/>
      <c r="B125" s="10"/>
      <c r="C125" s="16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spans="1:37" ht="18" x14ac:dyDescent="0.25">
      <c r="A126" s="10"/>
      <c r="B126" s="10"/>
      <c r="C126" s="16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spans="1:37" ht="18" x14ac:dyDescent="0.25">
      <c r="A127" s="10"/>
      <c r="B127" s="10"/>
      <c r="C127" s="16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spans="1:37" ht="18" x14ac:dyDescent="0.25">
      <c r="A128" s="10"/>
      <c r="B128" s="10"/>
      <c r="C128" s="16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spans="1:37" ht="18" x14ac:dyDescent="0.25">
      <c r="A129" s="10"/>
      <c r="B129" s="10"/>
      <c r="C129" s="16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spans="1:37" ht="18" x14ac:dyDescent="0.25">
      <c r="A130" s="10"/>
      <c r="B130" s="10"/>
      <c r="C130" s="16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spans="1:37" ht="18" x14ac:dyDescent="0.25">
      <c r="A131" s="10"/>
      <c r="B131" s="10"/>
      <c r="C131" s="16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spans="1:37" ht="18" x14ac:dyDescent="0.25">
      <c r="A132" s="10"/>
      <c r="B132" s="10"/>
      <c r="C132" s="16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spans="1:37" ht="18" x14ac:dyDescent="0.25">
      <c r="A133" s="10"/>
      <c r="B133" s="10"/>
      <c r="C133" s="16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spans="1:37" ht="18" x14ac:dyDescent="0.25">
      <c r="A134" s="10"/>
      <c r="B134" s="10"/>
      <c r="C134" s="16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spans="1:37" ht="18" x14ac:dyDescent="0.25">
      <c r="A135" s="10"/>
      <c r="B135" s="10"/>
      <c r="C135" s="16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spans="1:37" ht="18" x14ac:dyDescent="0.25">
      <c r="A136" s="10"/>
      <c r="B136" s="10"/>
      <c r="C136" s="16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spans="1:37" ht="18" x14ac:dyDescent="0.25">
      <c r="A137" s="10"/>
      <c r="B137" s="10"/>
      <c r="C137" s="16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spans="1:37" ht="18" x14ac:dyDescent="0.25">
      <c r="A138" s="10"/>
      <c r="B138" s="10"/>
      <c r="C138" s="16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spans="1:37" ht="18" x14ac:dyDescent="0.25">
      <c r="A139" s="10"/>
      <c r="B139" s="10"/>
      <c r="C139" s="16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spans="1:37" ht="18" x14ac:dyDescent="0.25">
      <c r="A140" s="10"/>
      <c r="B140" s="10"/>
      <c r="C140" s="16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spans="1:37" ht="18" x14ac:dyDescent="0.25">
      <c r="A141" s="10"/>
      <c r="B141" s="10"/>
      <c r="C141" s="16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spans="1:37" ht="18" x14ac:dyDescent="0.25">
      <c r="A142" s="10"/>
      <c r="B142" s="10"/>
      <c r="C142" s="16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spans="1:37" ht="18" x14ac:dyDescent="0.25">
      <c r="A143" s="10"/>
      <c r="B143" s="10"/>
      <c r="C143" s="16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spans="1:37" ht="18" x14ac:dyDescent="0.25">
      <c r="A144" s="10"/>
      <c r="B144" s="10"/>
      <c r="C144" s="16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spans="1:37" ht="18" x14ac:dyDescent="0.25">
      <c r="A145" s="10"/>
      <c r="B145" s="10"/>
      <c r="C145" s="16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spans="1:37" ht="18" x14ac:dyDescent="0.25">
      <c r="A146" s="10"/>
      <c r="B146" s="10"/>
      <c r="C146" s="16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spans="1:37" ht="18" x14ac:dyDescent="0.25">
      <c r="A147" s="10"/>
      <c r="B147" s="10"/>
      <c r="C147" s="16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spans="1:37" ht="18" x14ac:dyDescent="0.25">
      <c r="A148" s="10"/>
      <c r="B148" s="10"/>
      <c r="C148" s="16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spans="1:37" ht="18" x14ac:dyDescent="0.25">
      <c r="A149" s="10"/>
      <c r="B149" s="10"/>
      <c r="C149" s="16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spans="1:37" ht="18" x14ac:dyDescent="0.25">
      <c r="A150" s="10"/>
      <c r="B150" s="10"/>
      <c r="C150" s="16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spans="1:37" ht="18" x14ac:dyDescent="0.25">
      <c r="A151" s="10"/>
      <c r="B151" s="10"/>
      <c r="C151" s="16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spans="1:37" ht="18" x14ac:dyDescent="0.25">
      <c r="A152" s="10"/>
      <c r="B152" s="10"/>
      <c r="C152" s="16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spans="1:37" ht="18" x14ac:dyDescent="0.25">
      <c r="A153" s="10"/>
      <c r="B153" s="10"/>
      <c r="C153" s="16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spans="1:37" ht="18" x14ac:dyDescent="0.25">
      <c r="A154" s="10"/>
      <c r="B154" s="10"/>
      <c r="C154" s="16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spans="1:37" ht="18" x14ac:dyDescent="0.25">
      <c r="A155" s="10"/>
      <c r="B155" s="10"/>
      <c r="C155" s="16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spans="1:37" ht="18" x14ac:dyDescent="0.25">
      <c r="A156" s="10"/>
      <c r="B156" s="10"/>
      <c r="C156" s="16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spans="1:37" ht="18" x14ac:dyDescent="0.25">
      <c r="A157" s="10"/>
      <c r="B157" s="10"/>
      <c r="C157" s="16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spans="1:37" ht="18" x14ac:dyDescent="0.25">
      <c r="A158" s="10"/>
      <c r="B158" s="10"/>
      <c r="C158" s="16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spans="1:37" ht="18" x14ac:dyDescent="0.25">
      <c r="A159" s="10"/>
      <c r="B159" s="10"/>
      <c r="C159" s="16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spans="1:37" ht="18" x14ac:dyDescent="0.25">
      <c r="A160" s="10"/>
      <c r="B160" s="10"/>
      <c r="C160" s="16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spans="1:37" ht="18" x14ac:dyDescent="0.25">
      <c r="A161" s="10"/>
      <c r="B161" s="10"/>
      <c r="C161" s="16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spans="1:37" ht="18" x14ac:dyDescent="0.25">
      <c r="A162" s="10"/>
      <c r="B162" s="10"/>
      <c r="C162" s="16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spans="1:37" ht="18" x14ac:dyDescent="0.25">
      <c r="A163" s="10"/>
      <c r="B163" s="10"/>
      <c r="C163" s="16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spans="1:37" ht="18" x14ac:dyDescent="0.25">
      <c r="A164" s="10"/>
      <c r="B164" s="10"/>
      <c r="C164" s="16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spans="1:37" ht="18" x14ac:dyDescent="0.25">
      <c r="A165" s="10"/>
      <c r="B165" s="10"/>
      <c r="C165" s="16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spans="1:37" ht="18" x14ac:dyDescent="0.25">
      <c r="A166" s="10"/>
      <c r="B166" s="10"/>
      <c r="C166" s="16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spans="1:37" ht="18" x14ac:dyDescent="0.25">
      <c r="A167" s="10"/>
      <c r="B167" s="10"/>
      <c r="C167" s="16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spans="1:37" ht="18" x14ac:dyDescent="0.25">
      <c r="A168" s="10"/>
      <c r="B168" s="10"/>
      <c r="C168" s="16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spans="1:37" ht="18" x14ac:dyDescent="0.25">
      <c r="A169" s="10"/>
      <c r="B169" s="10"/>
      <c r="C169" s="16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spans="1:37" ht="18" x14ac:dyDescent="0.25">
      <c r="A170" s="10"/>
      <c r="B170" s="10"/>
      <c r="C170" s="16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spans="1:37" ht="18" x14ac:dyDescent="0.25">
      <c r="A171" s="10"/>
      <c r="B171" s="10"/>
      <c r="C171" s="16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spans="1:37" ht="18" x14ac:dyDescent="0.25">
      <c r="A172" s="10"/>
      <c r="B172" s="10"/>
      <c r="C172" s="16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spans="1:37" ht="18" x14ac:dyDescent="0.25">
      <c r="A173" s="10"/>
      <c r="B173" s="10"/>
      <c r="C173" s="16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spans="1:37" ht="18" x14ac:dyDescent="0.25">
      <c r="A174" s="10"/>
      <c r="B174" s="10"/>
      <c r="C174" s="16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spans="1:37" ht="18" x14ac:dyDescent="0.25">
      <c r="A175" s="10"/>
      <c r="B175" s="10"/>
      <c r="C175" s="16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spans="1:37" ht="18" x14ac:dyDescent="0.25">
      <c r="A176" s="10"/>
      <c r="B176" s="10"/>
      <c r="C176" s="16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spans="1:37" ht="18" x14ac:dyDescent="0.25">
      <c r="A177" s="10"/>
      <c r="B177" s="10"/>
      <c r="C177" s="16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spans="1:37" ht="18" x14ac:dyDescent="0.25">
      <c r="A178" s="10"/>
      <c r="B178" s="10"/>
      <c r="C178" s="16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spans="1:37" ht="18" x14ac:dyDescent="0.25">
      <c r="A179" s="10"/>
      <c r="B179" s="10"/>
      <c r="C179" s="16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spans="1:37" ht="18" x14ac:dyDescent="0.25">
      <c r="A180" s="10"/>
      <c r="B180" s="10"/>
      <c r="C180" s="16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spans="1:37" ht="18" x14ac:dyDescent="0.25">
      <c r="A181" s="10"/>
      <c r="B181" s="10"/>
      <c r="C181" s="16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spans="1:37" ht="18" x14ac:dyDescent="0.25">
      <c r="A182" s="10"/>
      <c r="B182" s="10"/>
      <c r="C182" s="16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spans="1:37" ht="18" x14ac:dyDescent="0.25">
      <c r="A183" s="10"/>
      <c r="B183" s="10"/>
      <c r="C183" s="16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spans="1:37" ht="18" x14ac:dyDescent="0.25">
      <c r="A184" s="10"/>
      <c r="B184" s="10"/>
      <c r="C184" s="16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spans="1:37" ht="18" x14ac:dyDescent="0.25">
      <c r="A185" s="10"/>
      <c r="B185" s="10"/>
      <c r="C185" s="16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spans="1:37" ht="18" x14ac:dyDescent="0.25">
      <c r="A186" s="10"/>
      <c r="B186" s="10"/>
      <c r="C186" s="16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spans="1:37" ht="18" x14ac:dyDescent="0.25">
      <c r="A187" s="10"/>
      <c r="B187" s="10"/>
      <c r="C187" s="16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spans="1:37" ht="18" x14ac:dyDescent="0.25">
      <c r="A188" s="10"/>
      <c r="B188" s="10"/>
      <c r="C188" s="16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spans="1:37" ht="18" x14ac:dyDescent="0.25">
      <c r="A189" s="10"/>
      <c r="B189" s="10"/>
      <c r="C189" s="16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spans="1:37" ht="18" x14ac:dyDescent="0.25">
      <c r="A190" s="10"/>
      <c r="B190" s="10"/>
      <c r="C190" s="16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spans="1:37" ht="18" x14ac:dyDescent="0.25">
      <c r="A191" s="10"/>
      <c r="B191" s="10"/>
      <c r="C191" s="16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spans="1:37" ht="18" x14ac:dyDescent="0.25">
      <c r="A192" s="10"/>
      <c r="B192" s="10"/>
      <c r="C192" s="16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spans="1:37" ht="18" x14ac:dyDescent="0.25">
      <c r="A193" s="10"/>
      <c r="B193" s="10"/>
      <c r="C193" s="16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spans="1:37" ht="18" x14ac:dyDescent="0.25">
      <c r="A194" s="10"/>
      <c r="B194" s="10"/>
      <c r="C194" s="16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spans="1:37" ht="18" x14ac:dyDescent="0.25">
      <c r="A195" s="10"/>
      <c r="B195" s="10"/>
      <c r="C195" s="16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spans="1:37" ht="18" x14ac:dyDescent="0.25">
      <c r="A196" s="10"/>
      <c r="B196" s="10"/>
      <c r="C196" s="16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spans="1:37" ht="18" x14ac:dyDescent="0.25">
      <c r="A197" s="10"/>
      <c r="B197" s="10"/>
      <c r="C197" s="16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spans="1:37" ht="18" x14ac:dyDescent="0.25">
      <c r="A198" s="10"/>
      <c r="B198" s="10"/>
      <c r="C198" s="16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spans="1:37" ht="18" x14ac:dyDescent="0.25">
      <c r="A199" s="10"/>
      <c r="B199" s="10"/>
      <c r="C199" s="16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spans="1:37" ht="18" x14ac:dyDescent="0.25">
      <c r="A200" s="10"/>
      <c r="B200" s="10"/>
      <c r="C200" s="16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spans="1:37" ht="18" x14ac:dyDescent="0.25">
      <c r="A201" s="10"/>
      <c r="B201" s="10"/>
      <c r="C201" s="16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spans="1:37" ht="18" x14ac:dyDescent="0.25">
      <c r="A202" s="10"/>
      <c r="B202" s="10"/>
      <c r="C202" s="16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spans="1:37" ht="18" x14ac:dyDescent="0.25">
      <c r="A203" s="10"/>
      <c r="B203" s="10"/>
      <c r="C203" s="16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spans="1:37" ht="18" x14ac:dyDescent="0.25">
      <c r="A204" s="10"/>
      <c r="B204" s="10"/>
      <c r="C204" s="16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spans="1:37" ht="18" x14ac:dyDescent="0.25">
      <c r="A205" s="10"/>
      <c r="B205" s="10"/>
      <c r="C205" s="16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spans="1:37" ht="18" x14ac:dyDescent="0.25">
      <c r="A206" s="10"/>
      <c r="B206" s="10"/>
      <c r="C206" s="16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spans="1:37" ht="18" x14ac:dyDescent="0.25">
      <c r="A207" s="10"/>
      <c r="B207" s="10"/>
      <c r="C207" s="16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spans="1:37" ht="18" x14ac:dyDescent="0.25">
      <c r="A208" s="10"/>
      <c r="B208" s="10"/>
      <c r="C208" s="16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spans="1:37" ht="18" x14ac:dyDescent="0.25">
      <c r="A209" s="10"/>
      <c r="B209" s="10"/>
      <c r="C209" s="16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spans="1:37" ht="18" x14ac:dyDescent="0.25">
      <c r="A210" s="10"/>
      <c r="B210" s="10"/>
      <c r="C210" s="16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spans="1:37" ht="18" x14ac:dyDescent="0.25">
      <c r="A211" s="10"/>
      <c r="B211" s="10"/>
      <c r="C211" s="16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spans="1:37" ht="18" x14ac:dyDescent="0.25">
      <c r="A212" s="10"/>
      <c r="B212" s="10"/>
      <c r="C212" s="16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spans="1:37" ht="18" x14ac:dyDescent="0.25">
      <c r="A213" s="10"/>
      <c r="B213" s="10"/>
      <c r="C213" s="16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spans="1:37" ht="18" x14ac:dyDescent="0.25">
      <c r="A214" s="10"/>
      <c r="B214" s="10"/>
      <c r="C214" s="16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spans="1:37" ht="18" x14ac:dyDescent="0.25">
      <c r="A215" s="10"/>
      <c r="B215" s="10"/>
      <c r="C215" s="16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spans="1:37" ht="18" x14ac:dyDescent="0.25">
      <c r="A216" s="10"/>
      <c r="B216" s="10"/>
      <c r="C216" s="16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spans="1:37" ht="18" x14ac:dyDescent="0.25">
      <c r="A217" s="10"/>
      <c r="B217" s="10"/>
      <c r="C217" s="16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spans="1:37" ht="18" x14ac:dyDescent="0.25">
      <c r="A218" s="10"/>
      <c r="B218" s="10"/>
      <c r="C218" s="16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spans="1:37" ht="18" x14ac:dyDescent="0.25">
      <c r="A219" s="10"/>
      <c r="B219" s="10"/>
      <c r="C219" s="16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spans="1:37" ht="18" x14ac:dyDescent="0.25">
      <c r="A220" s="10"/>
      <c r="B220" s="10"/>
      <c r="C220" s="16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spans="1:37" ht="18" x14ac:dyDescent="0.25">
      <c r="A221" s="10"/>
      <c r="B221" s="10"/>
      <c r="C221" s="16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spans="1:37" ht="18" x14ac:dyDescent="0.25">
      <c r="A222" s="10"/>
      <c r="B222" s="10"/>
      <c r="C222" s="16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spans="1:37" ht="18" x14ac:dyDescent="0.25">
      <c r="A223" s="10"/>
      <c r="B223" s="10"/>
      <c r="C223" s="16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spans="1:37" ht="18" x14ac:dyDescent="0.25">
      <c r="A224" s="10"/>
      <c r="B224" s="10"/>
      <c r="C224" s="16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spans="1:37" ht="18" x14ac:dyDescent="0.25">
      <c r="A225" s="10"/>
      <c r="B225" s="10"/>
      <c r="C225" s="16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spans="1:37" ht="18" x14ac:dyDescent="0.25">
      <c r="A226" s="10"/>
      <c r="B226" s="10"/>
      <c r="C226" s="16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spans="1:37" ht="18" x14ac:dyDescent="0.25">
      <c r="A227" s="10"/>
      <c r="B227" s="10"/>
      <c r="C227" s="16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spans="1:37" ht="18" x14ac:dyDescent="0.25">
      <c r="A228" s="10"/>
      <c r="B228" s="10"/>
      <c r="C228" s="16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spans="1:37" ht="18" x14ac:dyDescent="0.25">
      <c r="A229" s="10"/>
      <c r="B229" s="10"/>
      <c r="C229" s="16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spans="1:37" ht="18" x14ac:dyDescent="0.25">
      <c r="A230" s="10"/>
      <c r="B230" s="10"/>
      <c r="C230" s="16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spans="1:37" ht="18" x14ac:dyDescent="0.25">
      <c r="A231" s="10"/>
      <c r="B231" s="10"/>
      <c r="C231" s="16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spans="1:37" ht="18" x14ac:dyDescent="0.25">
      <c r="A232" s="10"/>
      <c r="B232" s="10"/>
      <c r="C232" s="16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spans="1:37" ht="18" x14ac:dyDescent="0.25">
      <c r="A233" s="10"/>
      <c r="B233" s="10"/>
      <c r="C233" s="16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spans="1:37" ht="18" x14ac:dyDescent="0.25">
      <c r="A234" s="10"/>
      <c r="B234" s="10"/>
      <c r="C234" s="16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spans="1:37" ht="18" x14ac:dyDescent="0.25">
      <c r="A235" s="10"/>
      <c r="B235" s="10"/>
      <c r="C235" s="16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spans="1:37" ht="18" x14ac:dyDescent="0.25">
      <c r="A236" s="10"/>
      <c r="B236" s="10"/>
      <c r="C236" s="16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spans="1:37" ht="18" x14ac:dyDescent="0.25">
      <c r="A237" s="10"/>
      <c r="B237" s="10"/>
      <c r="C237" s="16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spans="1:37" ht="18" x14ac:dyDescent="0.25">
      <c r="A238" s="10"/>
      <c r="B238" s="10"/>
      <c r="C238" s="16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spans="1:37" ht="18" x14ac:dyDescent="0.25">
      <c r="A239" s="10"/>
      <c r="B239" s="10"/>
      <c r="C239" s="16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spans="1:37" ht="18" x14ac:dyDescent="0.25">
      <c r="A240" s="10"/>
      <c r="B240" s="10"/>
      <c r="C240" s="16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spans="1:37" ht="18" x14ac:dyDescent="0.25">
      <c r="A241" s="10"/>
      <c r="B241" s="10"/>
      <c r="C241" s="16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spans="1:37" ht="18" x14ac:dyDescent="0.25">
      <c r="A242" s="10"/>
      <c r="B242" s="10"/>
      <c r="C242" s="16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spans="1:37" ht="18" x14ac:dyDescent="0.25">
      <c r="A243" s="10"/>
      <c r="B243" s="10"/>
      <c r="C243" s="16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spans="1:37" ht="18" x14ac:dyDescent="0.25">
      <c r="A244" s="10"/>
      <c r="B244" s="10"/>
      <c r="C244" s="16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spans="1:37" ht="18" x14ac:dyDescent="0.25">
      <c r="A245" s="10"/>
      <c r="B245" s="10"/>
      <c r="C245" s="16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spans="1:37" ht="18" x14ac:dyDescent="0.25">
      <c r="A246" s="10"/>
      <c r="B246" s="10"/>
      <c r="C246" s="16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spans="1:37" ht="18" x14ac:dyDescent="0.25">
      <c r="A247" s="10"/>
      <c r="B247" s="10"/>
      <c r="C247" s="16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spans="1:37" ht="18" x14ac:dyDescent="0.25">
      <c r="A248" s="10"/>
      <c r="B248" s="10"/>
      <c r="C248" s="16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spans="1:37" ht="18" x14ac:dyDescent="0.25">
      <c r="A249" s="10"/>
      <c r="B249" s="10"/>
      <c r="C249" s="16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spans="1:37" ht="18" x14ac:dyDescent="0.25">
      <c r="A250" s="10"/>
      <c r="B250" s="10"/>
      <c r="C250" s="16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spans="1:37" ht="18" x14ac:dyDescent="0.25">
      <c r="A251" s="10"/>
      <c r="B251" s="10"/>
      <c r="C251" s="16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spans="1:37" ht="18" x14ac:dyDescent="0.25">
      <c r="A252" s="10"/>
      <c r="B252" s="10"/>
      <c r="C252" s="16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1:37" ht="18" x14ac:dyDescent="0.25">
      <c r="A253" s="10"/>
      <c r="B253" s="10"/>
      <c r="C253" s="16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1:37" ht="18" x14ac:dyDescent="0.25">
      <c r="A254" s="10"/>
      <c r="B254" s="10"/>
      <c r="C254" s="16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1:37" ht="18" x14ac:dyDescent="0.25">
      <c r="A255" s="10"/>
      <c r="B255" s="10"/>
      <c r="C255" s="16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1:37" ht="18" x14ac:dyDescent="0.25">
      <c r="A256" s="10"/>
      <c r="B256" s="10"/>
      <c r="C256" s="16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spans="1:37" ht="18" x14ac:dyDescent="0.25">
      <c r="A257" s="10"/>
      <c r="B257" s="10"/>
      <c r="C257" s="16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1:37" ht="18" x14ac:dyDescent="0.25">
      <c r="A258" s="10"/>
      <c r="B258" s="10"/>
      <c r="C258" s="16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spans="1:37" ht="18" x14ac:dyDescent="0.25">
      <c r="A259" s="10"/>
      <c r="B259" s="10"/>
      <c r="C259" s="16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spans="1:37" ht="18" x14ac:dyDescent="0.25">
      <c r="A260" s="10"/>
      <c r="B260" s="10"/>
      <c r="C260" s="16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spans="1:37" ht="18" x14ac:dyDescent="0.25">
      <c r="A261" s="10"/>
      <c r="B261" s="10"/>
      <c r="C261" s="16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spans="1:37" ht="18" x14ac:dyDescent="0.25">
      <c r="A262" s="10"/>
      <c r="B262" s="10"/>
      <c r="C262" s="16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spans="1:37" ht="18" x14ac:dyDescent="0.25">
      <c r="A263" s="10"/>
      <c r="B263" s="10"/>
      <c r="C263" s="16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spans="1:37" ht="18" x14ac:dyDescent="0.25">
      <c r="A264" s="10"/>
      <c r="B264" s="10"/>
      <c r="C264" s="16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spans="1:37" ht="18" x14ac:dyDescent="0.25">
      <c r="A265" s="10"/>
      <c r="B265" s="10"/>
      <c r="C265" s="16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spans="1:37" ht="18" x14ac:dyDescent="0.25">
      <c r="A266" s="10"/>
      <c r="B266" s="10"/>
      <c r="C266" s="16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spans="1:37" ht="18" x14ac:dyDescent="0.25">
      <c r="A267" s="10"/>
      <c r="B267" s="10"/>
      <c r="C267" s="16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spans="1:37" ht="18" x14ac:dyDescent="0.25">
      <c r="A268" s="10"/>
      <c r="B268" s="10"/>
      <c r="C268" s="16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spans="1:37" ht="18" x14ac:dyDescent="0.25">
      <c r="A269" s="10"/>
      <c r="B269" s="10"/>
      <c r="C269" s="16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spans="1:37" ht="18" x14ac:dyDescent="0.25">
      <c r="A270" s="10"/>
      <c r="B270" s="10"/>
      <c r="C270" s="16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spans="1:37" ht="18" x14ac:dyDescent="0.25">
      <c r="A271" s="10"/>
      <c r="B271" s="10"/>
      <c r="C271" s="16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spans="1:37" ht="18" x14ac:dyDescent="0.25">
      <c r="A272" s="10"/>
      <c r="B272" s="10"/>
      <c r="C272" s="16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spans="1:37" ht="18" x14ac:dyDescent="0.25">
      <c r="A273" s="10"/>
      <c r="B273" s="10"/>
      <c r="C273" s="16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spans="1:37" ht="18" x14ac:dyDescent="0.25">
      <c r="A274" s="10"/>
      <c r="B274" s="10"/>
      <c r="C274" s="16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spans="1:37" ht="18" x14ac:dyDescent="0.25">
      <c r="A275" s="10"/>
      <c r="B275" s="10"/>
      <c r="C275" s="16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spans="1:37" ht="18" x14ac:dyDescent="0.25">
      <c r="A276" s="10"/>
      <c r="B276" s="10"/>
      <c r="C276" s="16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spans="1:37" ht="18" x14ac:dyDescent="0.25">
      <c r="A277" s="10"/>
      <c r="B277" s="10"/>
      <c r="C277" s="16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spans="1:37" ht="18" x14ac:dyDescent="0.25">
      <c r="A278" s="10"/>
      <c r="B278" s="10"/>
      <c r="C278" s="16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spans="1:37" ht="18" x14ac:dyDescent="0.25">
      <c r="A279" s="10"/>
      <c r="B279" s="10"/>
      <c r="C279" s="16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spans="1:37" ht="18" x14ac:dyDescent="0.25">
      <c r="A280" s="10"/>
      <c r="B280" s="10"/>
      <c r="C280" s="16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spans="1:37" ht="18" x14ac:dyDescent="0.25">
      <c r="A281" s="10"/>
      <c r="B281" s="10"/>
      <c r="C281" s="16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spans="1:37" ht="18" x14ac:dyDescent="0.25">
      <c r="A282" s="10"/>
      <c r="B282" s="10"/>
      <c r="C282" s="16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spans="1:37" ht="18" x14ac:dyDescent="0.25">
      <c r="A283" s="10"/>
      <c r="B283" s="10"/>
      <c r="C283" s="16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spans="1:37" ht="18" x14ac:dyDescent="0.25">
      <c r="A284" s="10"/>
      <c r="B284" s="10"/>
      <c r="C284" s="16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spans="1:37" ht="18" x14ac:dyDescent="0.25">
      <c r="A285" s="10"/>
      <c r="B285" s="10"/>
      <c r="C285" s="16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spans="1:37" ht="18" x14ac:dyDescent="0.25">
      <c r="A286" s="10"/>
      <c r="B286" s="10"/>
      <c r="C286" s="16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spans="1:37" ht="18" x14ac:dyDescent="0.25">
      <c r="A287" s="10"/>
      <c r="B287" s="10"/>
      <c r="C287" s="16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spans="1:37" ht="18" x14ac:dyDescent="0.25">
      <c r="A288" s="10"/>
      <c r="B288" s="10"/>
      <c r="C288" s="16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spans="1:37" ht="18" x14ac:dyDescent="0.25">
      <c r="A289" s="10"/>
      <c r="B289" s="10"/>
      <c r="C289" s="16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spans="1:37" ht="18" x14ac:dyDescent="0.25">
      <c r="A290" s="10"/>
      <c r="B290" s="10"/>
      <c r="C290" s="16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spans="1:37" ht="18" x14ac:dyDescent="0.25">
      <c r="A291" s="10"/>
      <c r="B291" s="10"/>
      <c r="C291" s="16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spans="1:37" ht="18" x14ac:dyDescent="0.25">
      <c r="A292" s="10"/>
      <c r="B292" s="10"/>
      <c r="C292" s="16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spans="1:37" ht="18" x14ac:dyDescent="0.25">
      <c r="A293" s="10"/>
      <c r="B293" s="10"/>
      <c r="C293" s="16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spans="1:37" ht="18" x14ac:dyDescent="0.25">
      <c r="A294" s="10"/>
      <c r="B294" s="10"/>
      <c r="C294" s="16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spans="1:37" ht="18" x14ac:dyDescent="0.25">
      <c r="A295" s="10"/>
      <c r="B295" s="10"/>
      <c r="C295" s="16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spans="1:37" ht="18" x14ac:dyDescent="0.25">
      <c r="A296" s="10"/>
      <c r="B296" s="10"/>
      <c r="C296" s="16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spans="1:37" ht="18" x14ac:dyDescent="0.25">
      <c r="A297" s="10"/>
      <c r="B297" s="10"/>
      <c r="C297" s="16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spans="1:37" ht="18" x14ac:dyDescent="0.25">
      <c r="A298" s="10"/>
      <c r="B298" s="10"/>
      <c r="C298" s="16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spans="1:37" ht="18" x14ac:dyDescent="0.25">
      <c r="A299" s="10"/>
      <c r="B299" s="10"/>
      <c r="C299" s="16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spans="1:37" ht="18" x14ac:dyDescent="0.25">
      <c r="A300" s="10"/>
      <c r="B300" s="10"/>
      <c r="C300" s="16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spans="1:37" ht="18" x14ac:dyDescent="0.25">
      <c r="A301" s="10"/>
      <c r="B301" s="10"/>
      <c r="C301" s="16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spans="1:37" ht="18" x14ac:dyDescent="0.25">
      <c r="A302" s="10"/>
      <c r="B302" s="10"/>
      <c r="C302" s="16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spans="1:37" ht="18" x14ac:dyDescent="0.25">
      <c r="A303" s="10"/>
      <c r="B303" s="10"/>
      <c r="C303" s="16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spans="1:37" ht="18" x14ac:dyDescent="0.25">
      <c r="A304" s="10"/>
      <c r="B304" s="10"/>
      <c r="C304" s="16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spans="1:37" ht="18" x14ac:dyDescent="0.25">
      <c r="A305" s="10"/>
      <c r="B305" s="10"/>
      <c r="C305" s="16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spans="1:37" ht="18" x14ac:dyDescent="0.25">
      <c r="A306" s="10"/>
      <c r="B306" s="10"/>
      <c r="C306" s="16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spans="1:37" ht="18" x14ac:dyDescent="0.25">
      <c r="A307" s="10"/>
      <c r="B307" s="10"/>
      <c r="C307" s="16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spans="1:37" ht="18" x14ac:dyDescent="0.25">
      <c r="A308" s="10"/>
      <c r="B308" s="10"/>
      <c r="C308" s="16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spans="1:37" ht="18" x14ac:dyDescent="0.25">
      <c r="A309" s="10"/>
      <c r="B309" s="10"/>
      <c r="C309" s="16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spans="1:37" ht="18" x14ac:dyDescent="0.25">
      <c r="A310" s="10"/>
      <c r="B310" s="10"/>
      <c r="C310" s="16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spans="1:37" ht="18" x14ac:dyDescent="0.25">
      <c r="A311" s="10"/>
      <c r="B311" s="10"/>
      <c r="C311" s="16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spans="1:37" ht="18" x14ac:dyDescent="0.25">
      <c r="A312" s="10"/>
      <c r="B312" s="10"/>
      <c r="C312" s="16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spans="1:37" ht="18" x14ac:dyDescent="0.25">
      <c r="A313" s="10"/>
      <c r="B313" s="10"/>
      <c r="C313" s="16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spans="1:37" ht="18" x14ac:dyDescent="0.25">
      <c r="A314" s="10"/>
      <c r="B314" s="10"/>
      <c r="C314" s="16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spans="1:37" ht="18" x14ac:dyDescent="0.25">
      <c r="A315" s="10"/>
      <c r="B315" s="10"/>
      <c r="C315" s="16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spans="1:37" ht="18" x14ac:dyDescent="0.25">
      <c r="A316" s="10"/>
      <c r="B316" s="10"/>
      <c r="C316" s="16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spans="1:37" ht="18" x14ac:dyDescent="0.25">
      <c r="A317" s="10"/>
      <c r="B317" s="10"/>
      <c r="C317" s="16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spans="1:37" ht="18" x14ac:dyDescent="0.25">
      <c r="A318" s="10"/>
      <c r="B318" s="10"/>
      <c r="C318" s="16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spans="1:37" ht="18" x14ac:dyDescent="0.25">
      <c r="A319" s="10"/>
      <c r="B319" s="10"/>
      <c r="C319" s="16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spans="1:37" ht="18" x14ac:dyDescent="0.25">
      <c r="A320" s="10"/>
      <c r="B320" s="10"/>
      <c r="C320" s="16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spans="1:37" ht="18" x14ac:dyDescent="0.25">
      <c r="A321" s="10"/>
      <c r="B321" s="10"/>
      <c r="C321" s="16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spans="1:37" ht="18" x14ac:dyDescent="0.25">
      <c r="A322" s="10"/>
      <c r="B322" s="10"/>
      <c r="C322" s="16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spans="1:37" ht="18" x14ac:dyDescent="0.25">
      <c r="A323" s="10"/>
      <c r="B323" s="10"/>
      <c r="C323" s="16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spans="1:37" ht="18" x14ac:dyDescent="0.25">
      <c r="A324" s="10"/>
      <c r="B324" s="10"/>
      <c r="C324" s="16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spans="1:37" ht="18" x14ac:dyDescent="0.25">
      <c r="A325" s="10"/>
      <c r="B325" s="10"/>
      <c r="C325" s="16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spans="1:37" ht="18" x14ac:dyDescent="0.25">
      <c r="A326" s="10"/>
      <c r="B326" s="10"/>
      <c r="C326" s="16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spans="1:37" ht="18" x14ac:dyDescent="0.25">
      <c r="A327" s="10"/>
      <c r="B327" s="10"/>
      <c r="C327" s="16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spans="1:37" ht="18" x14ac:dyDescent="0.25">
      <c r="A328" s="10"/>
      <c r="B328" s="10"/>
      <c r="C328" s="16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spans="1:37" ht="18" x14ac:dyDescent="0.25">
      <c r="A329" s="10"/>
      <c r="B329" s="10"/>
      <c r="C329" s="16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spans="1:37" ht="18" x14ac:dyDescent="0.25">
      <c r="A330" s="10"/>
      <c r="B330" s="10"/>
      <c r="C330" s="16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spans="1:37" ht="18" x14ac:dyDescent="0.25">
      <c r="A331" s="10"/>
      <c r="B331" s="10"/>
      <c r="C331" s="16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spans="1:37" ht="18" x14ac:dyDescent="0.25">
      <c r="A332" s="10"/>
      <c r="B332" s="10"/>
      <c r="C332" s="16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spans="1:37" ht="18" x14ac:dyDescent="0.25">
      <c r="A333" s="10"/>
      <c r="B333" s="10"/>
      <c r="C333" s="16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spans="1:37" ht="18" x14ac:dyDescent="0.25">
      <c r="A334" s="10"/>
      <c r="B334" s="10"/>
      <c r="C334" s="16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spans="1:37" ht="18" x14ac:dyDescent="0.25">
      <c r="A335" s="10"/>
      <c r="B335" s="10"/>
      <c r="C335" s="16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spans="1:37" ht="18" x14ac:dyDescent="0.25">
      <c r="A336" s="10"/>
      <c r="B336" s="10"/>
      <c r="C336" s="16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spans="1:37" ht="18" x14ac:dyDescent="0.25">
      <c r="A337" s="10"/>
      <c r="B337" s="10"/>
      <c r="C337" s="16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8" x14ac:dyDescent="0.25">
      <c r="A338" s="10"/>
      <c r="B338" s="10"/>
      <c r="C338" s="16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8" x14ac:dyDescent="0.25">
      <c r="A339" s="10"/>
      <c r="B339" s="10"/>
      <c r="C339" s="16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8" x14ac:dyDescent="0.25">
      <c r="A340" s="10"/>
      <c r="B340" s="10"/>
      <c r="C340" s="16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8" x14ac:dyDescent="0.25">
      <c r="A341" s="10"/>
      <c r="B341" s="10"/>
      <c r="C341" s="16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8" x14ac:dyDescent="0.25">
      <c r="A342" s="10"/>
      <c r="B342" s="10"/>
      <c r="C342" s="16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8" x14ac:dyDescent="0.25">
      <c r="A343" s="10"/>
      <c r="B343" s="10"/>
      <c r="C343" s="16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8" x14ac:dyDescent="0.25">
      <c r="A344" s="10"/>
      <c r="B344" s="10"/>
      <c r="C344" s="16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8" x14ac:dyDescent="0.25">
      <c r="A345" s="10"/>
      <c r="B345" s="10"/>
      <c r="C345" s="16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8" x14ac:dyDescent="0.25">
      <c r="A346" s="10"/>
      <c r="B346" s="10"/>
      <c r="C346" s="16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8" x14ac:dyDescent="0.25">
      <c r="A347" s="10"/>
      <c r="B347" s="10"/>
      <c r="C347" s="16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8" x14ac:dyDescent="0.25">
      <c r="A348" s="10"/>
      <c r="B348" s="10"/>
      <c r="C348" s="16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8" x14ac:dyDescent="0.25">
      <c r="A349" s="10"/>
      <c r="B349" s="10"/>
      <c r="C349" s="16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8" x14ac:dyDescent="0.25">
      <c r="A350" s="10"/>
      <c r="B350" s="10"/>
      <c r="C350" s="16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8" x14ac:dyDescent="0.25">
      <c r="A351" s="10"/>
      <c r="B351" s="10"/>
      <c r="C351" s="16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8" x14ac:dyDescent="0.25">
      <c r="A352" s="10"/>
      <c r="B352" s="10"/>
      <c r="C352" s="16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8" x14ac:dyDescent="0.25">
      <c r="A353" s="10"/>
      <c r="B353" s="10"/>
      <c r="C353" s="16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8" x14ac:dyDescent="0.25">
      <c r="A354" s="10"/>
      <c r="B354" s="10"/>
      <c r="C354" s="16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8" x14ac:dyDescent="0.25">
      <c r="A355" s="10"/>
      <c r="B355" s="10"/>
      <c r="C355" s="16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8" x14ac:dyDescent="0.25">
      <c r="A356" s="10"/>
      <c r="B356" s="10"/>
      <c r="C356" s="16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8" x14ac:dyDescent="0.25">
      <c r="A357" s="10"/>
      <c r="B357" s="10"/>
      <c r="C357" s="16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8" x14ac:dyDescent="0.25">
      <c r="A358" s="10"/>
      <c r="B358" s="10"/>
      <c r="C358" s="16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8" x14ac:dyDescent="0.25">
      <c r="A359" s="10"/>
      <c r="B359" s="10"/>
      <c r="C359" s="16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8" x14ac:dyDescent="0.25">
      <c r="A360" s="10"/>
      <c r="B360" s="10"/>
      <c r="C360" s="16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8" x14ac:dyDescent="0.25">
      <c r="A361" s="10"/>
      <c r="B361" s="10"/>
      <c r="C361" s="16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8" x14ac:dyDescent="0.25">
      <c r="A362" s="10"/>
      <c r="B362" s="10"/>
      <c r="C362" s="16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8" x14ac:dyDescent="0.25">
      <c r="A363" s="10"/>
      <c r="B363" s="10"/>
      <c r="C363" s="16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8" x14ac:dyDescent="0.25">
      <c r="A364" s="10"/>
      <c r="B364" s="10"/>
      <c r="C364" s="16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8" x14ac:dyDescent="0.25">
      <c r="A365" s="10"/>
      <c r="B365" s="10"/>
      <c r="C365" s="16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8" x14ac:dyDescent="0.25">
      <c r="A366" s="10"/>
      <c r="B366" s="10"/>
      <c r="C366" s="16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8" x14ac:dyDescent="0.25">
      <c r="A367" s="10"/>
      <c r="B367" s="10"/>
      <c r="C367" s="16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8" x14ac:dyDescent="0.25">
      <c r="A368" s="10"/>
      <c r="B368" s="10"/>
      <c r="C368" s="16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8" x14ac:dyDescent="0.25">
      <c r="A369" s="10"/>
      <c r="B369" s="10"/>
      <c r="C369" s="16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8" x14ac:dyDescent="0.25">
      <c r="A370" s="10"/>
      <c r="B370" s="10"/>
      <c r="C370" s="16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8" x14ac:dyDescent="0.25">
      <c r="A371" s="10"/>
      <c r="B371" s="10"/>
      <c r="C371" s="16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8" x14ac:dyDescent="0.25">
      <c r="A372" s="10"/>
      <c r="B372" s="10"/>
      <c r="C372" s="16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8" x14ac:dyDescent="0.25">
      <c r="A373" s="10"/>
      <c r="B373" s="10"/>
      <c r="C373" s="16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8" x14ac:dyDescent="0.25">
      <c r="A374" s="10"/>
      <c r="B374" s="10"/>
      <c r="C374" s="16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8" x14ac:dyDescent="0.25">
      <c r="A375" s="10"/>
      <c r="B375" s="10"/>
      <c r="C375" s="16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8" x14ac:dyDescent="0.25">
      <c r="A376" s="10"/>
      <c r="B376" s="10"/>
      <c r="C376" s="16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8" x14ac:dyDescent="0.25">
      <c r="A377" s="10"/>
      <c r="B377" s="10"/>
      <c r="C377" s="16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8" x14ac:dyDescent="0.25">
      <c r="A378" s="10"/>
      <c r="B378" s="10"/>
      <c r="C378" s="16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8" x14ac:dyDescent="0.25">
      <c r="A379" s="10"/>
      <c r="B379" s="10"/>
      <c r="C379" s="16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8" x14ac:dyDescent="0.25">
      <c r="A380" s="10"/>
      <c r="B380" s="10"/>
      <c r="C380" s="16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8" x14ac:dyDescent="0.25">
      <c r="A381" s="10"/>
      <c r="B381" s="10"/>
      <c r="C381" s="16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8" x14ac:dyDescent="0.25">
      <c r="A382" s="10"/>
      <c r="B382" s="10"/>
      <c r="C382" s="16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8" x14ac:dyDescent="0.25">
      <c r="A383" s="10"/>
      <c r="B383" s="10"/>
      <c r="C383" s="16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8" x14ac:dyDescent="0.25">
      <c r="A384" s="10"/>
      <c r="B384" s="10"/>
      <c r="C384" s="16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8" x14ac:dyDescent="0.25">
      <c r="A385" s="10"/>
      <c r="B385" s="10"/>
      <c r="C385" s="16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8" x14ac:dyDescent="0.25">
      <c r="A386" s="10"/>
      <c r="B386" s="10"/>
      <c r="C386" s="16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8" x14ac:dyDescent="0.25">
      <c r="A387" s="10"/>
      <c r="B387" s="10"/>
      <c r="C387" s="16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8" x14ac:dyDescent="0.25">
      <c r="A388" s="10"/>
      <c r="B388" s="10"/>
      <c r="C388" s="16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8" x14ac:dyDescent="0.25">
      <c r="A389" s="10"/>
      <c r="B389" s="10"/>
      <c r="C389" s="16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8" x14ac:dyDescent="0.25">
      <c r="A390" s="10"/>
      <c r="B390" s="10"/>
      <c r="C390" s="16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8" x14ac:dyDescent="0.25">
      <c r="A391" s="10"/>
      <c r="B391" s="10"/>
      <c r="C391" s="16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8" x14ac:dyDescent="0.25">
      <c r="A392" s="10"/>
      <c r="B392" s="10"/>
      <c r="C392" s="16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8" x14ac:dyDescent="0.25">
      <c r="A393" s="10"/>
      <c r="B393" s="10"/>
      <c r="C393" s="16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8" x14ac:dyDescent="0.25">
      <c r="A394" s="10"/>
      <c r="B394" s="10"/>
      <c r="C394" s="16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8" x14ac:dyDescent="0.25">
      <c r="A395" s="10"/>
      <c r="B395" s="10"/>
      <c r="C395" s="16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8" x14ac:dyDescent="0.25">
      <c r="A396" s="10"/>
      <c r="B396" s="10"/>
      <c r="C396" s="16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8" x14ac:dyDescent="0.25">
      <c r="A397" s="10"/>
      <c r="B397" s="10"/>
      <c r="C397" s="16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8" x14ac:dyDescent="0.25">
      <c r="A398" s="10"/>
      <c r="B398" s="10"/>
      <c r="C398" s="16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8" x14ac:dyDescent="0.25">
      <c r="A399" s="10"/>
      <c r="B399" s="10"/>
      <c r="C399" s="16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8" x14ac:dyDescent="0.25">
      <c r="A400" s="10"/>
      <c r="B400" s="10"/>
      <c r="C400" s="16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8" x14ac:dyDescent="0.25">
      <c r="A401" s="10"/>
      <c r="B401" s="10"/>
      <c r="C401" s="16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8" x14ac:dyDescent="0.25">
      <c r="A402" s="10"/>
      <c r="B402" s="10"/>
      <c r="C402" s="16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8" x14ac:dyDescent="0.25">
      <c r="A403" s="10"/>
      <c r="B403" s="10"/>
      <c r="C403" s="16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8" x14ac:dyDescent="0.25">
      <c r="A404" s="10"/>
      <c r="B404" s="10"/>
      <c r="C404" s="16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8" x14ac:dyDescent="0.25">
      <c r="A405" s="10"/>
      <c r="B405" s="10"/>
      <c r="C405" s="16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8" x14ac:dyDescent="0.25">
      <c r="A406" s="10"/>
      <c r="B406" s="10"/>
      <c r="C406" s="16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8" x14ac:dyDescent="0.25">
      <c r="A407" s="10"/>
      <c r="B407" s="10"/>
      <c r="C407" s="16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8" x14ac:dyDescent="0.25">
      <c r="A408" s="10"/>
      <c r="B408" s="10"/>
      <c r="C408" s="16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8" x14ac:dyDescent="0.25">
      <c r="A409" s="10"/>
      <c r="B409" s="10"/>
      <c r="C409" s="16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8" x14ac:dyDescent="0.25">
      <c r="A410" s="10"/>
      <c r="B410" s="10"/>
      <c r="C410" s="16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8" x14ac:dyDescent="0.25">
      <c r="A411" s="10"/>
      <c r="B411" s="10"/>
      <c r="C411" s="16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8" x14ac:dyDescent="0.25">
      <c r="A412" s="10"/>
      <c r="B412" s="10"/>
      <c r="C412" s="16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8" x14ac:dyDescent="0.25">
      <c r="A413" s="10"/>
      <c r="B413" s="10"/>
      <c r="C413" s="16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8" x14ac:dyDescent="0.25">
      <c r="A414" s="10"/>
      <c r="B414" s="10"/>
      <c r="C414" s="16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8" x14ac:dyDescent="0.25">
      <c r="A415" s="10"/>
      <c r="B415" s="10"/>
      <c r="C415" s="16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8" x14ac:dyDescent="0.25">
      <c r="A416" s="10"/>
      <c r="B416" s="10"/>
      <c r="C416" s="16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8" x14ac:dyDescent="0.25">
      <c r="A417" s="10"/>
      <c r="B417" s="10"/>
      <c r="C417" s="16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8" x14ac:dyDescent="0.25">
      <c r="A418" s="10"/>
      <c r="B418" s="10"/>
      <c r="C418" s="16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8" x14ac:dyDescent="0.25">
      <c r="A419" s="10"/>
      <c r="B419" s="10"/>
      <c r="C419" s="16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8" x14ac:dyDescent="0.25">
      <c r="A420" s="10"/>
      <c r="B420" s="10"/>
      <c r="C420" s="16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8" x14ac:dyDescent="0.25">
      <c r="A421" s="10"/>
      <c r="B421" s="10"/>
      <c r="C421" s="16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8" x14ac:dyDescent="0.25">
      <c r="A422" s="10"/>
      <c r="B422" s="10"/>
      <c r="C422" s="16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8" x14ac:dyDescent="0.25">
      <c r="A423" s="10"/>
      <c r="B423" s="10"/>
      <c r="C423" s="16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8" x14ac:dyDescent="0.25">
      <c r="A424" s="10"/>
      <c r="B424" s="10"/>
      <c r="C424" s="16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8" x14ac:dyDescent="0.25">
      <c r="A425" s="10"/>
      <c r="B425" s="10"/>
      <c r="C425" s="16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8" x14ac:dyDescent="0.25">
      <c r="A426" s="10"/>
      <c r="B426" s="10"/>
      <c r="C426" s="16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8" x14ac:dyDescent="0.25">
      <c r="A427" s="10"/>
      <c r="B427" s="10"/>
      <c r="C427" s="16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8" x14ac:dyDescent="0.25">
      <c r="A428" s="10"/>
      <c r="B428" s="10"/>
      <c r="C428" s="16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8" x14ac:dyDescent="0.25">
      <c r="A429" s="10"/>
      <c r="B429" s="10"/>
      <c r="C429" s="16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8" x14ac:dyDescent="0.25">
      <c r="A430" s="10"/>
      <c r="B430" s="10"/>
      <c r="C430" s="16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8" x14ac:dyDescent="0.25">
      <c r="A431" s="10"/>
      <c r="B431" s="10"/>
      <c r="C431" s="16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8" x14ac:dyDescent="0.25">
      <c r="A432" s="10"/>
      <c r="B432" s="10"/>
      <c r="C432" s="16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8" x14ac:dyDescent="0.25">
      <c r="A433" s="10"/>
      <c r="B433" s="10"/>
      <c r="C433" s="16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8" x14ac:dyDescent="0.25">
      <c r="A434" s="10"/>
      <c r="B434" s="10"/>
      <c r="C434" s="16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8" x14ac:dyDescent="0.25">
      <c r="A435" s="10"/>
      <c r="B435" s="10"/>
      <c r="C435" s="16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8" x14ac:dyDescent="0.25">
      <c r="A436" s="10"/>
      <c r="B436" s="10"/>
      <c r="C436" s="16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8" x14ac:dyDescent="0.25">
      <c r="A437" s="10"/>
      <c r="B437" s="10"/>
      <c r="C437" s="16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8" x14ac:dyDescent="0.25">
      <c r="A438" s="10"/>
      <c r="B438" s="10"/>
      <c r="C438" s="16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8" x14ac:dyDescent="0.25">
      <c r="A439" s="10"/>
      <c r="B439" s="10"/>
      <c r="C439" s="16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8" x14ac:dyDescent="0.25">
      <c r="A440" s="10"/>
      <c r="B440" s="10"/>
      <c r="C440" s="16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8" x14ac:dyDescent="0.25">
      <c r="A441" s="10"/>
      <c r="B441" s="10"/>
      <c r="C441" s="16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8" x14ac:dyDescent="0.25">
      <c r="A442" s="10"/>
      <c r="B442" s="10"/>
      <c r="C442" s="16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8" x14ac:dyDescent="0.25">
      <c r="A443" s="10"/>
      <c r="B443" s="10"/>
      <c r="C443" s="16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8" x14ac:dyDescent="0.25">
      <c r="A444" s="10"/>
      <c r="B444" s="10"/>
      <c r="C444" s="16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8" x14ac:dyDescent="0.25">
      <c r="A445" s="10"/>
      <c r="B445" s="10"/>
      <c r="C445" s="16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8" x14ac:dyDescent="0.25">
      <c r="A446" s="10"/>
      <c r="B446" s="10"/>
      <c r="C446" s="16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8" x14ac:dyDescent="0.25">
      <c r="A447" s="10"/>
      <c r="B447" s="10"/>
      <c r="C447" s="16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8" x14ac:dyDescent="0.25">
      <c r="A448" s="10"/>
      <c r="B448" s="10"/>
      <c r="C448" s="16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8" x14ac:dyDescent="0.25">
      <c r="A449" s="10"/>
      <c r="B449" s="10"/>
      <c r="C449" s="16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8" x14ac:dyDescent="0.25">
      <c r="A450" s="10"/>
      <c r="B450" s="10"/>
      <c r="C450" s="16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8" x14ac:dyDescent="0.25">
      <c r="A451" s="10"/>
      <c r="B451" s="10"/>
      <c r="C451" s="16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8" x14ac:dyDescent="0.25">
      <c r="A452" s="10"/>
      <c r="B452" s="10"/>
      <c r="C452" s="16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8" x14ac:dyDescent="0.25">
      <c r="A453" s="10"/>
      <c r="B453" s="10"/>
      <c r="C453" s="16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8" x14ac:dyDescent="0.25">
      <c r="A454" s="10"/>
      <c r="B454" s="10"/>
      <c r="C454" s="16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8" x14ac:dyDescent="0.25">
      <c r="A455" s="10"/>
      <c r="B455" s="10"/>
      <c r="C455" s="16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8" x14ac:dyDescent="0.25">
      <c r="A456" s="10"/>
      <c r="B456" s="10"/>
      <c r="C456" s="16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8" x14ac:dyDescent="0.25">
      <c r="A457" s="10"/>
      <c r="B457" s="10"/>
      <c r="C457" s="16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8" x14ac:dyDescent="0.25">
      <c r="A458" s="10"/>
      <c r="B458" s="10"/>
      <c r="C458" s="16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8" x14ac:dyDescent="0.25">
      <c r="A459" s="10"/>
      <c r="B459" s="10"/>
      <c r="C459" s="16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8" x14ac:dyDescent="0.25">
      <c r="A460" s="10"/>
      <c r="B460" s="10"/>
      <c r="C460" s="16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8" x14ac:dyDescent="0.25">
      <c r="A461" s="10"/>
      <c r="B461" s="10"/>
      <c r="C461" s="16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8" x14ac:dyDescent="0.25">
      <c r="A462" s="10"/>
      <c r="B462" s="10"/>
      <c r="C462" s="16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8" x14ac:dyDescent="0.25">
      <c r="A463" s="10"/>
      <c r="B463" s="10"/>
      <c r="C463" s="16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8" x14ac:dyDescent="0.25">
      <c r="A464" s="10"/>
      <c r="B464" s="10"/>
      <c r="C464" s="16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8" x14ac:dyDescent="0.25">
      <c r="A465" s="10"/>
      <c r="B465" s="10"/>
      <c r="C465" s="16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8" x14ac:dyDescent="0.25">
      <c r="A466" s="10"/>
      <c r="B466" s="10"/>
      <c r="C466" s="16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8" x14ac:dyDescent="0.25">
      <c r="A467" s="10"/>
      <c r="B467" s="10"/>
      <c r="C467" s="16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8" x14ac:dyDescent="0.25">
      <c r="A468" s="10"/>
      <c r="B468" s="10"/>
      <c r="C468" s="16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8" x14ac:dyDescent="0.25">
      <c r="A469" s="10"/>
      <c r="B469" s="10"/>
      <c r="C469" s="16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8" x14ac:dyDescent="0.25">
      <c r="A470" s="10"/>
      <c r="B470" s="10"/>
      <c r="C470" s="16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8" x14ac:dyDescent="0.25">
      <c r="A471" s="10"/>
      <c r="B471" s="10"/>
      <c r="C471" s="16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8" x14ac:dyDescent="0.25">
      <c r="A472" s="10"/>
      <c r="B472" s="10"/>
      <c r="C472" s="16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8" x14ac:dyDescent="0.25">
      <c r="A473" s="10"/>
      <c r="B473" s="10"/>
      <c r="C473" s="16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8" x14ac:dyDescent="0.25">
      <c r="A474" s="10"/>
      <c r="B474" s="10"/>
      <c r="C474" s="16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8" x14ac:dyDescent="0.25">
      <c r="A475" s="10"/>
      <c r="B475" s="10"/>
      <c r="C475" s="16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8" x14ac:dyDescent="0.25">
      <c r="A476" s="10"/>
      <c r="B476" s="10"/>
      <c r="C476" s="16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8" x14ac:dyDescent="0.25">
      <c r="A477" s="10"/>
      <c r="B477" s="10"/>
      <c r="C477" s="16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8" x14ac:dyDescent="0.25">
      <c r="A478" s="10"/>
      <c r="B478" s="10"/>
      <c r="C478" s="16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8" x14ac:dyDescent="0.25">
      <c r="A479" s="10"/>
      <c r="B479" s="10"/>
      <c r="C479" s="16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8" x14ac:dyDescent="0.25">
      <c r="A480" s="10"/>
      <c r="B480" s="10"/>
      <c r="C480" s="16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8" x14ac:dyDescent="0.25">
      <c r="A481" s="10"/>
      <c r="B481" s="10"/>
      <c r="C481" s="16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8" x14ac:dyDescent="0.25">
      <c r="A482" s="10"/>
      <c r="B482" s="10"/>
      <c r="C482" s="16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8" x14ac:dyDescent="0.25">
      <c r="A483" s="10"/>
      <c r="B483" s="10"/>
      <c r="C483" s="16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8" x14ac:dyDescent="0.25">
      <c r="A484" s="10"/>
      <c r="B484" s="10"/>
      <c r="C484" s="16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8" x14ac:dyDescent="0.25">
      <c r="A485" s="10"/>
      <c r="B485" s="10"/>
      <c r="C485" s="16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8" x14ac:dyDescent="0.25">
      <c r="A486" s="10"/>
      <c r="B486" s="10"/>
      <c r="C486" s="16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8" x14ac:dyDescent="0.25">
      <c r="A487" s="10"/>
      <c r="B487" s="10"/>
      <c r="C487" s="16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8" x14ac:dyDescent="0.25">
      <c r="A488" s="10"/>
      <c r="B488" s="10"/>
      <c r="C488" s="16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8" x14ac:dyDescent="0.25">
      <c r="A489" s="10"/>
      <c r="B489" s="10"/>
      <c r="C489" s="16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8" x14ac:dyDescent="0.25">
      <c r="A490" s="10"/>
      <c r="B490" s="10"/>
      <c r="C490" s="16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8" x14ac:dyDescent="0.25">
      <c r="A491" s="10"/>
      <c r="B491" s="10"/>
      <c r="C491" s="16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8" x14ac:dyDescent="0.25">
      <c r="A492" s="10"/>
      <c r="B492" s="10"/>
      <c r="C492" s="16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8" x14ac:dyDescent="0.25">
      <c r="A493" s="10"/>
      <c r="B493" s="10"/>
      <c r="C493" s="16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8" x14ac:dyDescent="0.25">
      <c r="A494" s="10"/>
      <c r="B494" s="10"/>
      <c r="C494" s="16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8" x14ac:dyDescent="0.25">
      <c r="A495" s="10"/>
      <c r="B495" s="10"/>
      <c r="C495" s="16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8" x14ac:dyDescent="0.25">
      <c r="A496" s="10"/>
      <c r="B496" s="10"/>
      <c r="C496" s="16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8" x14ac:dyDescent="0.25">
      <c r="A497" s="10"/>
      <c r="B497" s="10"/>
      <c r="C497" s="16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8" x14ac:dyDescent="0.25">
      <c r="A498" s="10"/>
      <c r="B498" s="10"/>
      <c r="C498" s="16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8" x14ac:dyDescent="0.25">
      <c r="A499" s="10"/>
      <c r="B499" s="10"/>
      <c r="C499" s="16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8" x14ac:dyDescent="0.25">
      <c r="A500" s="10"/>
      <c r="B500" s="10"/>
      <c r="C500" s="16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8" x14ac:dyDescent="0.25">
      <c r="A501" s="10"/>
      <c r="B501" s="10"/>
      <c r="C501" s="16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8" x14ac:dyDescent="0.25">
      <c r="A502" s="10"/>
      <c r="B502" s="10"/>
      <c r="C502" s="16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8" x14ac:dyDescent="0.25">
      <c r="A503" s="10"/>
      <c r="B503" s="10"/>
      <c r="C503" s="16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8" x14ac:dyDescent="0.25">
      <c r="A504" s="10"/>
      <c r="B504" s="10"/>
      <c r="C504" s="16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8" x14ac:dyDescent="0.25">
      <c r="A505" s="10"/>
      <c r="B505" s="10"/>
      <c r="C505" s="16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8" x14ac:dyDescent="0.25">
      <c r="A506" s="10"/>
      <c r="B506" s="10"/>
      <c r="C506" s="16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8" x14ac:dyDescent="0.25">
      <c r="A507" s="10"/>
      <c r="B507" s="10"/>
      <c r="C507" s="16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8" x14ac:dyDescent="0.25">
      <c r="A508" s="10"/>
      <c r="B508" s="10"/>
      <c r="C508" s="16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8" x14ac:dyDescent="0.25">
      <c r="A509" s="10"/>
      <c r="B509" s="10"/>
      <c r="C509" s="16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8" x14ac:dyDescent="0.25">
      <c r="A510" s="10"/>
      <c r="B510" s="10"/>
      <c r="C510" s="16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8" x14ac:dyDescent="0.25">
      <c r="A511" s="10"/>
      <c r="B511" s="10"/>
      <c r="C511" s="16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8" x14ac:dyDescent="0.25">
      <c r="A512" s="10"/>
      <c r="B512" s="10"/>
      <c r="C512" s="16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8" x14ac:dyDescent="0.25">
      <c r="A513" s="10"/>
      <c r="B513" s="10"/>
      <c r="C513" s="16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8" x14ac:dyDescent="0.25">
      <c r="A514" s="10"/>
      <c r="B514" s="10"/>
      <c r="C514" s="16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8" x14ac:dyDescent="0.25">
      <c r="A515" s="10"/>
      <c r="B515" s="10"/>
      <c r="C515" s="16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8" x14ac:dyDescent="0.25">
      <c r="A516" s="10"/>
      <c r="B516" s="10"/>
      <c r="C516" s="16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8" x14ac:dyDescent="0.25">
      <c r="A517" s="10"/>
      <c r="B517" s="10"/>
      <c r="C517" s="16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8" x14ac:dyDescent="0.25">
      <c r="A518" s="10"/>
      <c r="B518" s="10"/>
      <c r="C518" s="16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8" x14ac:dyDescent="0.25">
      <c r="A519" s="10"/>
      <c r="B519" s="10"/>
      <c r="C519" s="16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8" x14ac:dyDescent="0.25">
      <c r="A520" s="10"/>
      <c r="B520" s="10"/>
      <c r="C520" s="16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8" x14ac:dyDescent="0.25">
      <c r="A521" s="10"/>
      <c r="B521" s="10"/>
      <c r="C521" s="16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8" x14ac:dyDescent="0.25">
      <c r="A522" s="10"/>
      <c r="B522" s="10"/>
      <c r="C522" s="16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8" x14ac:dyDescent="0.25">
      <c r="A523" s="10"/>
      <c r="B523" s="10"/>
      <c r="C523" s="16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8" x14ac:dyDescent="0.25">
      <c r="A524" s="10"/>
      <c r="B524" s="10"/>
      <c r="C524" s="16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8" x14ac:dyDescent="0.25">
      <c r="A525" s="10"/>
      <c r="B525" s="10"/>
      <c r="C525" s="16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8" x14ac:dyDescent="0.25">
      <c r="A526" s="10"/>
      <c r="B526" s="10"/>
      <c r="C526" s="16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8" x14ac:dyDescent="0.25">
      <c r="A527" s="10"/>
      <c r="B527" s="10"/>
      <c r="C527" s="16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8" x14ac:dyDescent="0.25">
      <c r="A528" s="10"/>
      <c r="B528" s="10"/>
      <c r="C528" s="16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8" x14ac:dyDescent="0.25">
      <c r="A529" s="10"/>
      <c r="B529" s="10"/>
      <c r="C529" s="16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</sheetData>
  <mergeCells count="13">
    <mergeCell ref="C10:D10"/>
    <mergeCell ref="B37:G37"/>
    <mergeCell ref="G14:G15"/>
    <mergeCell ref="B21:E21"/>
    <mergeCell ref="D28:E28"/>
    <mergeCell ref="D29:E29"/>
    <mergeCell ref="B34:E34"/>
    <mergeCell ref="B36:G36"/>
    <mergeCell ref="H1:N1"/>
    <mergeCell ref="B3:E3"/>
    <mergeCell ref="B8:E8"/>
    <mergeCell ref="G8:N8"/>
    <mergeCell ref="P8:V8"/>
  </mergeCells>
  <pageMargins left="0.25" right="0.25" top="0.75" bottom="0.75" header="0.3" footer="0.3"/>
  <pageSetup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70B4-6B44-48A7-A23B-4B03ED234508}">
  <sheetPr>
    <pageSetUpPr fitToPage="1"/>
  </sheetPr>
  <dimension ref="A1:AK530"/>
  <sheetViews>
    <sheetView topLeftCell="A13" zoomScale="70" zoomScaleNormal="70" workbookViewId="0">
      <selection activeCell="I39" sqref="I39"/>
    </sheetView>
  </sheetViews>
  <sheetFormatPr baseColWidth="10" defaultColWidth="17.28515625" defaultRowHeight="15" customHeight="1" x14ac:dyDescent="0.25"/>
  <cols>
    <col min="1" max="1" width="4" style="14" customWidth="1"/>
    <col min="2" max="2" width="32.5703125" style="14" customWidth="1"/>
    <col min="3" max="3" width="9.42578125" style="14" bestFit="1" customWidth="1"/>
    <col min="4" max="4" width="20.85546875" style="110" customWidth="1"/>
    <col min="5" max="5" width="18" style="14" customWidth="1"/>
    <col min="6" max="6" width="2" style="14" customWidth="1"/>
    <col min="7" max="7" width="16.5703125" style="14" bestFit="1" customWidth="1"/>
    <col min="8" max="8" width="13.85546875" style="14" bestFit="1" customWidth="1"/>
    <col min="9" max="9" width="18.7109375" style="14" bestFit="1" customWidth="1"/>
    <col min="10" max="10" width="14.140625" style="14" bestFit="1" customWidth="1"/>
    <col min="11" max="11" width="12" style="14" bestFit="1" customWidth="1"/>
    <col min="12" max="12" width="16.5703125" style="14" bestFit="1" customWidth="1"/>
    <col min="13" max="13" width="14.140625" style="14" bestFit="1" customWidth="1"/>
    <col min="14" max="14" width="16.5703125" style="14" bestFit="1" customWidth="1"/>
    <col min="15" max="15" width="1.85546875" style="14" customWidth="1"/>
    <col min="16" max="18" width="14.140625" style="14" bestFit="1" customWidth="1"/>
    <col min="19" max="19" width="9.5703125" style="14" customWidth="1"/>
    <col min="20" max="20" width="14.140625" style="14" bestFit="1" customWidth="1"/>
    <col min="21" max="21" width="11" style="14" bestFit="1" customWidth="1"/>
    <col min="22" max="22" width="14" style="14" customWidth="1"/>
    <col min="23" max="23" width="1.5703125" style="14" customWidth="1"/>
    <col min="24" max="24" width="16.5703125" style="14" bestFit="1" customWidth="1"/>
    <col min="25" max="25" width="1.5703125" style="14" customWidth="1"/>
    <col min="26" max="26" width="9.28515625" style="14" customWidth="1"/>
    <col min="27" max="27" width="0.85546875" style="14" customWidth="1"/>
    <col min="28" max="28" width="16.5703125" style="14" bestFit="1" customWidth="1"/>
    <col min="29" max="37" width="11.7109375" style="14" customWidth="1"/>
    <col min="38" max="256" width="17.28515625" style="14"/>
    <col min="257" max="257" width="4" style="14" customWidth="1"/>
    <col min="258" max="258" width="32.5703125" style="14" customWidth="1"/>
    <col min="259" max="259" width="9.42578125" style="14" bestFit="1" customWidth="1"/>
    <col min="260" max="260" width="20.85546875" style="14" customWidth="1"/>
    <col min="261" max="261" width="18" style="14" customWidth="1"/>
    <col min="262" max="262" width="2" style="14" customWidth="1"/>
    <col min="263" max="263" width="16.5703125" style="14" bestFit="1" customWidth="1"/>
    <col min="264" max="264" width="13.85546875" style="14" bestFit="1" customWidth="1"/>
    <col min="265" max="265" width="18.7109375" style="14" bestFit="1" customWidth="1"/>
    <col min="266" max="266" width="14.140625" style="14" bestFit="1" customWidth="1"/>
    <col min="267" max="267" width="12" style="14" bestFit="1" customWidth="1"/>
    <col min="268" max="268" width="16.5703125" style="14" bestFit="1" customWidth="1"/>
    <col min="269" max="269" width="14.140625" style="14" bestFit="1" customWidth="1"/>
    <col min="270" max="270" width="16.5703125" style="14" bestFit="1" customWidth="1"/>
    <col min="271" max="271" width="1.85546875" style="14" customWidth="1"/>
    <col min="272" max="274" width="14.140625" style="14" bestFit="1" customWidth="1"/>
    <col min="275" max="275" width="9.5703125" style="14" customWidth="1"/>
    <col min="276" max="276" width="14.140625" style="14" bestFit="1" customWidth="1"/>
    <col min="277" max="277" width="9.5703125" style="14" bestFit="1" customWidth="1"/>
    <col min="278" max="278" width="11.42578125" style="14" customWidth="1"/>
    <col min="279" max="279" width="1.5703125" style="14" customWidth="1"/>
    <col min="280" max="280" width="16.5703125" style="14" bestFit="1" customWidth="1"/>
    <col min="281" max="281" width="1.5703125" style="14" customWidth="1"/>
    <col min="282" max="282" width="9.28515625" style="14" customWidth="1"/>
    <col min="283" max="283" width="0.85546875" style="14" customWidth="1"/>
    <col min="284" max="284" width="16.5703125" style="14" bestFit="1" customWidth="1"/>
    <col min="285" max="293" width="11.7109375" style="14" customWidth="1"/>
    <col min="294" max="512" width="17.28515625" style="14"/>
    <col min="513" max="513" width="4" style="14" customWidth="1"/>
    <col min="514" max="514" width="32.5703125" style="14" customWidth="1"/>
    <col min="515" max="515" width="9.42578125" style="14" bestFit="1" customWidth="1"/>
    <col min="516" max="516" width="20.85546875" style="14" customWidth="1"/>
    <col min="517" max="517" width="18" style="14" customWidth="1"/>
    <col min="518" max="518" width="2" style="14" customWidth="1"/>
    <col min="519" max="519" width="16.5703125" style="14" bestFit="1" customWidth="1"/>
    <col min="520" max="520" width="13.85546875" style="14" bestFit="1" customWidth="1"/>
    <col min="521" max="521" width="18.7109375" style="14" bestFit="1" customWidth="1"/>
    <col min="522" max="522" width="14.140625" style="14" bestFit="1" customWidth="1"/>
    <col min="523" max="523" width="12" style="14" bestFit="1" customWidth="1"/>
    <col min="524" max="524" width="16.5703125" style="14" bestFit="1" customWidth="1"/>
    <col min="525" max="525" width="14.140625" style="14" bestFit="1" customWidth="1"/>
    <col min="526" max="526" width="16.5703125" style="14" bestFit="1" customWidth="1"/>
    <col min="527" max="527" width="1.85546875" style="14" customWidth="1"/>
    <col min="528" max="530" width="14.140625" style="14" bestFit="1" customWidth="1"/>
    <col min="531" max="531" width="9.5703125" style="14" customWidth="1"/>
    <col min="532" max="532" width="14.140625" style="14" bestFit="1" customWidth="1"/>
    <col min="533" max="533" width="9.5703125" style="14" bestFit="1" customWidth="1"/>
    <col min="534" max="534" width="11.42578125" style="14" customWidth="1"/>
    <col min="535" max="535" width="1.5703125" style="14" customWidth="1"/>
    <col min="536" max="536" width="16.5703125" style="14" bestFit="1" customWidth="1"/>
    <col min="537" max="537" width="1.5703125" style="14" customWidth="1"/>
    <col min="538" max="538" width="9.28515625" style="14" customWidth="1"/>
    <col min="539" max="539" width="0.85546875" style="14" customWidth="1"/>
    <col min="540" max="540" width="16.5703125" style="14" bestFit="1" customWidth="1"/>
    <col min="541" max="549" width="11.7109375" style="14" customWidth="1"/>
    <col min="550" max="768" width="17.28515625" style="14"/>
    <col min="769" max="769" width="4" style="14" customWidth="1"/>
    <col min="770" max="770" width="32.5703125" style="14" customWidth="1"/>
    <col min="771" max="771" width="9.42578125" style="14" bestFit="1" customWidth="1"/>
    <col min="772" max="772" width="20.85546875" style="14" customWidth="1"/>
    <col min="773" max="773" width="18" style="14" customWidth="1"/>
    <col min="774" max="774" width="2" style="14" customWidth="1"/>
    <col min="775" max="775" width="16.5703125" style="14" bestFit="1" customWidth="1"/>
    <col min="776" max="776" width="13.85546875" style="14" bestFit="1" customWidth="1"/>
    <col min="777" max="777" width="18.7109375" style="14" bestFit="1" customWidth="1"/>
    <col min="778" max="778" width="14.140625" style="14" bestFit="1" customWidth="1"/>
    <col min="779" max="779" width="12" style="14" bestFit="1" customWidth="1"/>
    <col min="780" max="780" width="16.5703125" style="14" bestFit="1" customWidth="1"/>
    <col min="781" max="781" width="14.140625" style="14" bestFit="1" customWidth="1"/>
    <col min="782" max="782" width="16.5703125" style="14" bestFit="1" customWidth="1"/>
    <col min="783" max="783" width="1.85546875" style="14" customWidth="1"/>
    <col min="784" max="786" width="14.140625" style="14" bestFit="1" customWidth="1"/>
    <col min="787" max="787" width="9.5703125" style="14" customWidth="1"/>
    <col min="788" max="788" width="14.140625" style="14" bestFit="1" customWidth="1"/>
    <col min="789" max="789" width="9.5703125" style="14" bestFit="1" customWidth="1"/>
    <col min="790" max="790" width="11.42578125" style="14" customWidth="1"/>
    <col min="791" max="791" width="1.5703125" style="14" customWidth="1"/>
    <col min="792" max="792" width="16.5703125" style="14" bestFit="1" customWidth="1"/>
    <col min="793" max="793" width="1.5703125" style="14" customWidth="1"/>
    <col min="794" max="794" width="9.28515625" style="14" customWidth="1"/>
    <col min="795" max="795" width="0.85546875" style="14" customWidth="1"/>
    <col min="796" max="796" width="16.5703125" style="14" bestFit="1" customWidth="1"/>
    <col min="797" max="805" width="11.7109375" style="14" customWidth="1"/>
    <col min="806" max="1024" width="17.28515625" style="14"/>
    <col min="1025" max="1025" width="4" style="14" customWidth="1"/>
    <col min="1026" max="1026" width="32.5703125" style="14" customWidth="1"/>
    <col min="1027" max="1027" width="9.42578125" style="14" bestFit="1" customWidth="1"/>
    <col min="1028" max="1028" width="20.85546875" style="14" customWidth="1"/>
    <col min="1029" max="1029" width="18" style="14" customWidth="1"/>
    <col min="1030" max="1030" width="2" style="14" customWidth="1"/>
    <col min="1031" max="1031" width="16.5703125" style="14" bestFit="1" customWidth="1"/>
    <col min="1032" max="1032" width="13.85546875" style="14" bestFit="1" customWidth="1"/>
    <col min="1033" max="1033" width="18.7109375" style="14" bestFit="1" customWidth="1"/>
    <col min="1034" max="1034" width="14.140625" style="14" bestFit="1" customWidth="1"/>
    <col min="1035" max="1035" width="12" style="14" bestFit="1" customWidth="1"/>
    <col min="1036" max="1036" width="16.5703125" style="14" bestFit="1" customWidth="1"/>
    <col min="1037" max="1037" width="14.140625" style="14" bestFit="1" customWidth="1"/>
    <col min="1038" max="1038" width="16.5703125" style="14" bestFit="1" customWidth="1"/>
    <col min="1039" max="1039" width="1.85546875" style="14" customWidth="1"/>
    <col min="1040" max="1042" width="14.140625" style="14" bestFit="1" customWidth="1"/>
    <col min="1043" max="1043" width="9.5703125" style="14" customWidth="1"/>
    <col min="1044" max="1044" width="14.140625" style="14" bestFit="1" customWidth="1"/>
    <col min="1045" max="1045" width="9.5703125" style="14" bestFit="1" customWidth="1"/>
    <col min="1046" max="1046" width="11.42578125" style="14" customWidth="1"/>
    <col min="1047" max="1047" width="1.5703125" style="14" customWidth="1"/>
    <col min="1048" max="1048" width="16.5703125" style="14" bestFit="1" customWidth="1"/>
    <col min="1049" max="1049" width="1.5703125" style="14" customWidth="1"/>
    <col min="1050" max="1050" width="9.28515625" style="14" customWidth="1"/>
    <col min="1051" max="1051" width="0.85546875" style="14" customWidth="1"/>
    <col min="1052" max="1052" width="16.5703125" style="14" bestFit="1" customWidth="1"/>
    <col min="1053" max="1061" width="11.7109375" style="14" customWidth="1"/>
    <col min="1062" max="1280" width="17.28515625" style="14"/>
    <col min="1281" max="1281" width="4" style="14" customWidth="1"/>
    <col min="1282" max="1282" width="32.5703125" style="14" customWidth="1"/>
    <col min="1283" max="1283" width="9.42578125" style="14" bestFit="1" customWidth="1"/>
    <col min="1284" max="1284" width="20.85546875" style="14" customWidth="1"/>
    <col min="1285" max="1285" width="18" style="14" customWidth="1"/>
    <col min="1286" max="1286" width="2" style="14" customWidth="1"/>
    <col min="1287" max="1287" width="16.5703125" style="14" bestFit="1" customWidth="1"/>
    <col min="1288" max="1288" width="13.85546875" style="14" bestFit="1" customWidth="1"/>
    <col min="1289" max="1289" width="18.7109375" style="14" bestFit="1" customWidth="1"/>
    <col min="1290" max="1290" width="14.140625" style="14" bestFit="1" customWidth="1"/>
    <col min="1291" max="1291" width="12" style="14" bestFit="1" customWidth="1"/>
    <col min="1292" max="1292" width="16.5703125" style="14" bestFit="1" customWidth="1"/>
    <col min="1293" max="1293" width="14.140625" style="14" bestFit="1" customWidth="1"/>
    <col min="1294" max="1294" width="16.5703125" style="14" bestFit="1" customWidth="1"/>
    <col min="1295" max="1295" width="1.85546875" style="14" customWidth="1"/>
    <col min="1296" max="1298" width="14.140625" style="14" bestFit="1" customWidth="1"/>
    <col min="1299" max="1299" width="9.5703125" style="14" customWidth="1"/>
    <col min="1300" max="1300" width="14.140625" style="14" bestFit="1" customWidth="1"/>
    <col min="1301" max="1301" width="9.5703125" style="14" bestFit="1" customWidth="1"/>
    <col min="1302" max="1302" width="11.42578125" style="14" customWidth="1"/>
    <col min="1303" max="1303" width="1.5703125" style="14" customWidth="1"/>
    <col min="1304" max="1304" width="16.5703125" style="14" bestFit="1" customWidth="1"/>
    <col min="1305" max="1305" width="1.5703125" style="14" customWidth="1"/>
    <col min="1306" max="1306" width="9.28515625" style="14" customWidth="1"/>
    <col min="1307" max="1307" width="0.85546875" style="14" customWidth="1"/>
    <col min="1308" max="1308" width="16.5703125" style="14" bestFit="1" customWidth="1"/>
    <col min="1309" max="1317" width="11.7109375" style="14" customWidth="1"/>
    <col min="1318" max="1536" width="17.28515625" style="14"/>
    <col min="1537" max="1537" width="4" style="14" customWidth="1"/>
    <col min="1538" max="1538" width="32.5703125" style="14" customWidth="1"/>
    <col min="1539" max="1539" width="9.42578125" style="14" bestFit="1" customWidth="1"/>
    <col min="1540" max="1540" width="20.85546875" style="14" customWidth="1"/>
    <col min="1541" max="1541" width="18" style="14" customWidth="1"/>
    <col min="1542" max="1542" width="2" style="14" customWidth="1"/>
    <col min="1543" max="1543" width="16.5703125" style="14" bestFit="1" customWidth="1"/>
    <col min="1544" max="1544" width="13.85546875" style="14" bestFit="1" customWidth="1"/>
    <col min="1545" max="1545" width="18.7109375" style="14" bestFit="1" customWidth="1"/>
    <col min="1546" max="1546" width="14.140625" style="14" bestFit="1" customWidth="1"/>
    <col min="1547" max="1547" width="12" style="14" bestFit="1" customWidth="1"/>
    <col min="1548" max="1548" width="16.5703125" style="14" bestFit="1" customWidth="1"/>
    <col min="1549" max="1549" width="14.140625" style="14" bestFit="1" customWidth="1"/>
    <col min="1550" max="1550" width="16.5703125" style="14" bestFit="1" customWidth="1"/>
    <col min="1551" max="1551" width="1.85546875" style="14" customWidth="1"/>
    <col min="1552" max="1554" width="14.140625" style="14" bestFit="1" customWidth="1"/>
    <col min="1555" max="1555" width="9.5703125" style="14" customWidth="1"/>
    <col min="1556" max="1556" width="14.140625" style="14" bestFit="1" customWidth="1"/>
    <col min="1557" max="1557" width="9.5703125" style="14" bestFit="1" customWidth="1"/>
    <col min="1558" max="1558" width="11.42578125" style="14" customWidth="1"/>
    <col min="1559" max="1559" width="1.5703125" style="14" customWidth="1"/>
    <col min="1560" max="1560" width="16.5703125" style="14" bestFit="1" customWidth="1"/>
    <col min="1561" max="1561" width="1.5703125" style="14" customWidth="1"/>
    <col min="1562" max="1562" width="9.28515625" style="14" customWidth="1"/>
    <col min="1563" max="1563" width="0.85546875" style="14" customWidth="1"/>
    <col min="1564" max="1564" width="16.5703125" style="14" bestFit="1" customWidth="1"/>
    <col min="1565" max="1573" width="11.7109375" style="14" customWidth="1"/>
    <col min="1574" max="1792" width="17.28515625" style="14"/>
    <col min="1793" max="1793" width="4" style="14" customWidth="1"/>
    <col min="1794" max="1794" width="32.5703125" style="14" customWidth="1"/>
    <col min="1795" max="1795" width="9.42578125" style="14" bestFit="1" customWidth="1"/>
    <col min="1796" max="1796" width="20.85546875" style="14" customWidth="1"/>
    <col min="1797" max="1797" width="18" style="14" customWidth="1"/>
    <col min="1798" max="1798" width="2" style="14" customWidth="1"/>
    <col min="1799" max="1799" width="16.5703125" style="14" bestFit="1" customWidth="1"/>
    <col min="1800" max="1800" width="13.85546875" style="14" bestFit="1" customWidth="1"/>
    <col min="1801" max="1801" width="18.7109375" style="14" bestFit="1" customWidth="1"/>
    <col min="1802" max="1802" width="14.140625" style="14" bestFit="1" customWidth="1"/>
    <col min="1803" max="1803" width="12" style="14" bestFit="1" customWidth="1"/>
    <col min="1804" max="1804" width="16.5703125" style="14" bestFit="1" customWidth="1"/>
    <col min="1805" max="1805" width="14.140625" style="14" bestFit="1" customWidth="1"/>
    <col min="1806" max="1806" width="16.5703125" style="14" bestFit="1" customWidth="1"/>
    <col min="1807" max="1807" width="1.85546875" style="14" customWidth="1"/>
    <col min="1808" max="1810" width="14.140625" style="14" bestFit="1" customWidth="1"/>
    <col min="1811" max="1811" width="9.5703125" style="14" customWidth="1"/>
    <col min="1812" max="1812" width="14.140625" style="14" bestFit="1" customWidth="1"/>
    <col min="1813" max="1813" width="9.5703125" style="14" bestFit="1" customWidth="1"/>
    <col min="1814" max="1814" width="11.42578125" style="14" customWidth="1"/>
    <col min="1815" max="1815" width="1.5703125" style="14" customWidth="1"/>
    <col min="1816" max="1816" width="16.5703125" style="14" bestFit="1" customWidth="1"/>
    <col min="1817" max="1817" width="1.5703125" style="14" customWidth="1"/>
    <col min="1818" max="1818" width="9.28515625" style="14" customWidth="1"/>
    <col min="1819" max="1819" width="0.85546875" style="14" customWidth="1"/>
    <col min="1820" max="1820" width="16.5703125" style="14" bestFit="1" customWidth="1"/>
    <col min="1821" max="1829" width="11.7109375" style="14" customWidth="1"/>
    <col min="1830" max="2048" width="17.28515625" style="14"/>
    <col min="2049" max="2049" width="4" style="14" customWidth="1"/>
    <col min="2050" max="2050" width="32.5703125" style="14" customWidth="1"/>
    <col min="2051" max="2051" width="9.42578125" style="14" bestFit="1" customWidth="1"/>
    <col min="2052" max="2052" width="20.85546875" style="14" customWidth="1"/>
    <col min="2053" max="2053" width="18" style="14" customWidth="1"/>
    <col min="2054" max="2054" width="2" style="14" customWidth="1"/>
    <col min="2055" max="2055" width="16.5703125" style="14" bestFit="1" customWidth="1"/>
    <col min="2056" max="2056" width="13.85546875" style="14" bestFit="1" customWidth="1"/>
    <col min="2057" max="2057" width="18.7109375" style="14" bestFit="1" customWidth="1"/>
    <col min="2058" max="2058" width="14.140625" style="14" bestFit="1" customWidth="1"/>
    <col min="2059" max="2059" width="12" style="14" bestFit="1" customWidth="1"/>
    <col min="2060" max="2060" width="16.5703125" style="14" bestFit="1" customWidth="1"/>
    <col min="2061" max="2061" width="14.140625" style="14" bestFit="1" customWidth="1"/>
    <col min="2062" max="2062" width="16.5703125" style="14" bestFit="1" customWidth="1"/>
    <col min="2063" max="2063" width="1.85546875" style="14" customWidth="1"/>
    <col min="2064" max="2066" width="14.140625" style="14" bestFit="1" customWidth="1"/>
    <col min="2067" max="2067" width="9.5703125" style="14" customWidth="1"/>
    <col min="2068" max="2068" width="14.140625" style="14" bestFit="1" customWidth="1"/>
    <col min="2069" max="2069" width="9.5703125" style="14" bestFit="1" customWidth="1"/>
    <col min="2070" max="2070" width="11.42578125" style="14" customWidth="1"/>
    <col min="2071" max="2071" width="1.5703125" style="14" customWidth="1"/>
    <col min="2072" max="2072" width="16.5703125" style="14" bestFit="1" customWidth="1"/>
    <col min="2073" max="2073" width="1.5703125" style="14" customWidth="1"/>
    <col min="2074" max="2074" width="9.28515625" style="14" customWidth="1"/>
    <col min="2075" max="2075" width="0.85546875" style="14" customWidth="1"/>
    <col min="2076" max="2076" width="16.5703125" style="14" bestFit="1" customWidth="1"/>
    <col min="2077" max="2085" width="11.7109375" style="14" customWidth="1"/>
    <col min="2086" max="2304" width="17.28515625" style="14"/>
    <col min="2305" max="2305" width="4" style="14" customWidth="1"/>
    <col min="2306" max="2306" width="32.5703125" style="14" customWidth="1"/>
    <col min="2307" max="2307" width="9.42578125" style="14" bestFit="1" customWidth="1"/>
    <col min="2308" max="2308" width="20.85546875" style="14" customWidth="1"/>
    <col min="2309" max="2309" width="18" style="14" customWidth="1"/>
    <col min="2310" max="2310" width="2" style="14" customWidth="1"/>
    <col min="2311" max="2311" width="16.5703125" style="14" bestFit="1" customWidth="1"/>
    <col min="2312" max="2312" width="13.85546875" style="14" bestFit="1" customWidth="1"/>
    <col min="2313" max="2313" width="18.7109375" style="14" bestFit="1" customWidth="1"/>
    <col min="2314" max="2314" width="14.140625" style="14" bestFit="1" customWidth="1"/>
    <col min="2315" max="2315" width="12" style="14" bestFit="1" customWidth="1"/>
    <col min="2316" max="2316" width="16.5703125" style="14" bestFit="1" customWidth="1"/>
    <col min="2317" max="2317" width="14.140625" style="14" bestFit="1" customWidth="1"/>
    <col min="2318" max="2318" width="16.5703125" style="14" bestFit="1" customWidth="1"/>
    <col min="2319" max="2319" width="1.85546875" style="14" customWidth="1"/>
    <col min="2320" max="2322" width="14.140625" style="14" bestFit="1" customWidth="1"/>
    <col min="2323" max="2323" width="9.5703125" style="14" customWidth="1"/>
    <col min="2324" max="2324" width="14.140625" style="14" bestFit="1" customWidth="1"/>
    <col min="2325" max="2325" width="9.5703125" style="14" bestFit="1" customWidth="1"/>
    <col min="2326" max="2326" width="11.42578125" style="14" customWidth="1"/>
    <col min="2327" max="2327" width="1.5703125" style="14" customWidth="1"/>
    <col min="2328" max="2328" width="16.5703125" style="14" bestFit="1" customWidth="1"/>
    <col min="2329" max="2329" width="1.5703125" style="14" customWidth="1"/>
    <col min="2330" max="2330" width="9.28515625" style="14" customWidth="1"/>
    <col min="2331" max="2331" width="0.85546875" style="14" customWidth="1"/>
    <col min="2332" max="2332" width="16.5703125" style="14" bestFit="1" customWidth="1"/>
    <col min="2333" max="2341" width="11.7109375" style="14" customWidth="1"/>
    <col min="2342" max="2560" width="17.28515625" style="14"/>
    <col min="2561" max="2561" width="4" style="14" customWidth="1"/>
    <col min="2562" max="2562" width="32.5703125" style="14" customWidth="1"/>
    <col min="2563" max="2563" width="9.42578125" style="14" bestFit="1" customWidth="1"/>
    <col min="2564" max="2564" width="20.85546875" style="14" customWidth="1"/>
    <col min="2565" max="2565" width="18" style="14" customWidth="1"/>
    <col min="2566" max="2566" width="2" style="14" customWidth="1"/>
    <col min="2567" max="2567" width="16.5703125" style="14" bestFit="1" customWidth="1"/>
    <col min="2568" max="2568" width="13.85546875" style="14" bestFit="1" customWidth="1"/>
    <col min="2569" max="2569" width="18.7109375" style="14" bestFit="1" customWidth="1"/>
    <col min="2570" max="2570" width="14.140625" style="14" bestFit="1" customWidth="1"/>
    <col min="2571" max="2571" width="12" style="14" bestFit="1" customWidth="1"/>
    <col min="2572" max="2572" width="16.5703125" style="14" bestFit="1" customWidth="1"/>
    <col min="2573" max="2573" width="14.140625" style="14" bestFit="1" customWidth="1"/>
    <col min="2574" max="2574" width="16.5703125" style="14" bestFit="1" customWidth="1"/>
    <col min="2575" max="2575" width="1.85546875" style="14" customWidth="1"/>
    <col min="2576" max="2578" width="14.140625" style="14" bestFit="1" customWidth="1"/>
    <col min="2579" max="2579" width="9.5703125" style="14" customWidth="1"/>
    <col min="2580" max="2580" width="14.140625" style="14" bestFit="1" customWidth="1"/>
    <col min="2581" max="2581" width="9.5703125" style="14" bestFit="1" customWidth="1"/>
    <col min="2582" max="2582" width="11.42578125" style="14" customWidth="1"/>
    <col min="2583" max="2583" width="1.5703125" style="14" customWidth="1"/>
    <col min="2584" max="2584" width="16.5703125" style="14" bestFit="1" customWidth="1"/>
    <col min="2585" max="2585" width="1.5703125" style="14" customWidth="1"/>
    <col min="2586" max="2586" width="9.28515625" style="14" customWidth="1"/>
    <col min="2587" max="2587" width="0.85546875" style="14" customWidth="1"/>
    <col min="2588" max="2588" width="16.5703125" style="14" bestFit="1" customWidth="1"/>
    <col min="2589" max="2597" width="11.7109375" style="14" customWidth="1"/>
    <col min="2598" max="2816" width="17.28515625" style="14"/>
    <col min="2817" max="2817" width="4" style="14" customWidth="1"/>
    <col min="2818" max="2818" width="32.5703125" style="14" customWidth="1"/>
    <col min="2819" max="2819" width="9.42578125" style="14" bestFit="1" customWidth="1"/>
    <col min="2820" max="2820" width="20.85546875" style="14" customWidth="1"/>
    <col min="2821" max="2821" width="18" style="14" customWidth="1"/>
    <col min="2822" max="2822" width="2" style="14" customWidth="1"/>
    <col min="2823" max="2823" width="16.5703125" style="14" bestFit="1" customWidth="1"/>
    <col min="2824" max="2824" width="13.85546875" style="14" bestFit="1" customWidth="1"/>
    <col min="2825" max="2825" width="18.7109375" style="14" bestFit="1" customWidth="1"/>
    <col min="2826" max="2826" width="14.140625" style="14" bestFit="1" customWidth="1"/>
    <col min="2827" max="2827" width="12" style="14" bestFit="1" customWidth="1"/>
    <col min="2828" max="2828" width="16.5703125" style="14" bestFit="1" customWidth="1"/>
    <col min="2829" max="2829" width="14.140625" style="14" bestFit="1" customWidth="1"/>
    <col min="2830" max="2830" width="16.5703125" style="14" bestFit="1" customWidth="1"/>
    <col min="2831" max="2831" width="1.85546875" style="14" customWidth="1"/>
    <col min="2832" max="2834" width="14.140625" style="14" bestFit="1" customWidth="1"/>
    <col min="2835" max="2835" width="9.5703125" style="14" customWidth="1"/>
    <col min="2836" max="2836" width="14.140625" style="14" bestFit="1" customWidth="1"/>
    <col min="2837" max="2837" width="9.5703125" style="14" bestFit="1" customWidth="1"/>
    <col min="2838" max="2838" width="11.42578125" style="14" customWidth="1"/>
    <col min="2839" max="2839" width="1.5703125" style="14" customWidth="1"/>
    <col min="2840" max="2840" width="16.5703125" style="14" bestFit="1" customWidth="1"/>
    <col min="2841" max="2841" width="1.5703125" style="14" customWidth="1"/>
    <col min="2842" max="2842" width="9.28515625" style="14" customWidth="1"/>
    <col min="2843" max="2843" width="0.85546875" style="14" customWidth="1"/>
    <col min="2844" max="2844" width="16.5703125" style="14" bestFit="1" customWidth="1"/>
    <col min="2845" max="2853" width="11.7109375" style="14" customWidth="1"/>
    <col min="2854" max="3072" width="17.28515625" style="14"/>
    <col min="3073" max="3073" width="4" style="14" customWidth="1"/>
    <col min="3074" max="3074" width="32.5703125" style="14" customWidth="1"/>
    <col min="3075" max="3075" width="9.42578125" style="14" bestFit="1" customWidth="1"/>
    <col min="3076" max="3076" width="20.85546875" style="14" customWidth="1"/>
    <col min="3077" max="3077" width="18" style="14" customWidth="1"/>
    <col min="3078" max="3078" width="2" style="14" customWidth="1"/>
    <col min="3079" max="3079" width="16.5703125" style="14" bestFit="1" customWidth="1"/>
    <col min="3080" max="3080" width="13.85546875" style="14" bestFit="1" customWidth="1"/>
    <col min="3081" max="3081" width="18.7109375" style="14" bestFit="1" customWidth="1"/>
    <col min="3082" max="3082" width="14.140625" style="14" bestFit="1" customWidth="1"/>
    <col min="3083" max="3083" width="12" style="14" bestFit="1" customWidth="1"/>
    <col min="3084" max="3084" width="16.5703125" style="14" bestFit="1" customWidth="1"/>
    <col min="3085" max="3085" width="14.140625" style="14" bestFit="1" customWidth="1"/>
    <col min="3086" max="3086" width="16.5703125" style="14" bestFit="1" customWidth="1"/>
    <col min="3087" max="3087" width="1.85546875" style="14" customWidth="1"/>
    <col min="3088" max="3090" width="14.140625" style="14" bestFit="1" customWidth="1"/>
    <col min="3091" max="3091" width="9.5703125" style="14" customWidth="1"/>
    <col min="3092" max="3092" width="14.140625" style="14" bestFit="1" customWidth="1"/>
    <col min="3093" max="3093" width="9.5703125" style="14" bestFit="1" customWidth="1"/>
    <col min="3094" max="3094" width="11.42578125" style="14" customWidth="1"/>
    <col min="3095" max="3095" width="1.5703125" style="14" customWidth="1"/>
    <col min="3096" max="3096" width="16.5703125" style="14" bestFit="1" customWidth="1"/>
    <col min="3097" max="3097" width="1.5703125" style="14" customWidth="1"/>
    <col min="3098" max="3098" width="9.28515625" style="14" customWidth="1"/>
    <col min="3099" max="3099" width="0.85546875" style="14" customWidth="1"/>
    <col min="3100" max="3100" width="16.5703125" style="14" bestFit="1" customWidth="1"/>
    <col min="3101" max="3109" width="11.7109375" style="14" customWidth="1"/>
    <col min="3110" max="3328" width="17.28515625" style="14"/>
    <col min="3329" max="3329" width="4" style="14" customWidth="1"/>
    <col min="3330" max="3330" width="32.5703125" style="14" customWidth="1"/>
    <col min="3331" max="3331" width="9.42578125" style="14" bestFit="1" customWidth="1"/>
    <col min="3332" max="3332" width="20.85546875" style="14" customWidth="1"/>
    <col min="3333" max="3333" width="18" style="14" customWidth="1"/>
    <col min="3334" max="3334" width="2" style="14" customWidth="1"/>
    <col min="3335" max="3335" width="16.5703125" style="14" bestFit="1" customWidth="1"/>
    <col min="3336" max="3336" width="13.85546875" style="14" bestFit="1" customWidth="1"/>
    <col min="3337" max="3337" width="18.7109375" style="14" bestFit="1" customWidth="1"/>
    <col min="3338" max="3338" width="14.140625" style="14" bestFit="1" customWidth="1"/>
    <col min="3339" max="3339" width="12" style="14" bestFit="1" customWidth="1"/>
    <col min="3340" max="3340" width="16.5703125" style="14" bestFit="1" customWidth="1"/>
    <col min="3341" max="3341" width="14.140625" style="14" bestFit="1" customWidth="1"/>
    <col min="3342" max="3342" width="16.5703125" style="14" bestFit="1" customWidth="1"/>
    <col min="3343" max="3343" width="1.85546875" style="14" customWidth="1"/>
    <col min="3344" max="3346" width="14.140625" style="14" bestFit="1" customWidth="1"/>
    <col min="3347" max="3347" width="9.5703125" style="14" customWidth="1"/>
    <col min="3348" max="3348" width="14.140625" style="14" bestFit="1" customWidth="1"/>
    <col min="3349" max="3349" width="9.5703125" style="14" bestFit="1" customWidth="1"/>
    <col min="3350" max="3350" width="11.42578125" style="14" customWidth="1"/>
    <col min="3351" max="3351" width="1.5703125" style="14" customWidth="1"/>
    <col min="3352" max="3352" width="16.5703125" style="14" bestFit="1" customWidth="1"/>
    <col min="3353" max="3353" width="1.5703125" style="14" customWidth="1"/>
    <col min="3354" max="3354" width="9.28515625" style="14" customWidth="1"/>
    <col min="3355" max="3355" width="0.85546875" style="14" customWidth="1"/>
    <col min="3356" max="3356" width="16.5703125" style="14" bestFit="1" customWidth="1"/>
    <col min="3357" max="3365" width="11.7109375" style="14" customWidth="1"/>
    <col min="3366" max="3584" width="17.28515625" style="14"/>
    <col min="3585" max="3585" width="4" style="14" customWidth="1"/>
    <col min="3586" max="3586" width="32.5703125" style="14" customWidth="1"/>
    <col min="3587" max="3587" width="9.42578125" style="14" bestFit="1" customWidth="1"/>
    <col min="3588" max="3588" width="20.85546875" style="14" customWidth="1"/>
    <col min="3589" max="3589" width="18" style="14" customWidth="1"/>
    <col min="3590" max="3590" width="2" style="14" customWidth="1"/>
    <col min="3591" max="3591" width="16.5703125" style="14" bestFit="1" customWidth="1"/>
    <col min="3592" max="3592" width="13.85546875" style="14" bestFit="1" customWidth="1"/>
    <col min="3593" max="3593" width="18.7109375" style="14" bestFit="1" customWidth="1"/>
    <col min="3594" max="3594" width="14.140625" style="14" bestFit="1" customWidth="1"/>
    <col min="3595" max="3595" width="12" style="14" bestFit="1" customWidth="1"/>
    <col min="3596" max="3596" width="16.5703125" style="14" bestFit="1" customWidth="1"/>
    <col min="3597" max="3597" width="14.140625" style="14" bestFit="1" customWidth="1"/>
    <col min="3598" max="3598" width="16.5703125" style="14" bestFit="1" customWidth="1"/>
    <col min="3599" max="3599" width="1.85546875" style="14" customWidth="1"/>
    <col min="3600" max="3602" width="14.140625" style="14" bestFit="1" customWidth="1"/>
    <col min="3603" max="3603" width="9.5703125" style="14" customWidth="1"/>
    <col min="3604" max="3604" width="14.140625" style="14" bestFit="1" customWidth="1"/>
    <col min="3605" max="3605" width="9.5703125" style="14" bestFit="1" customWidth="1"/>
    <col min="3606" max="3606" width="11.42578125" style="14" customWidth="1"/>
    <col min="3607" max="3607" width="1.5703125" style="14" customWidth="1"/>
    <col min="3608" max="3608" width="16.5703125" style="14" bestFit="1" customWidth="1"/>
    <col min="3609" max="3609" width="1.5703125" style="14" customWidth="1"/>
    <col min="3610" max="3610" width="9.28515625" style="14" customWidth="1"/>
    <col min="3611" max="3611" width="0.85546875" style="14" customWidth="1"/>
    <col min="3612" max="3612" width="16.5703125" style="14" bestFit="1" customWidth="1"/>
    <col min="3613" max="3621" width="11.7109375" style="14" customWidth="1"/>
    <col min="3622" max="3840" width="17.28515625" style="14"/>
    <col min="3841" max="3841" width="4" style="14" customWidth="1"/>
    <col min="3842" max="3842" width="32.5703125" style="14" customWidth="1"/>
    <col min="3843" max="3843" width="9.42578125" style="14" bestFit="1" customWidth="1"/>
    <col min="3844" max="3844" width="20.85546875" style="14" customWidth="1"/>
    <col min="3845" max="3845" width="18" style="14" customWidth="1"/>
    <col min="3846" max="3846" width="2" style="14" customWidth="1"/>
    <col min="3847" max="3847" width="16.5703125" style="14" bestFit="1" customWidth="1"/>
    <col min="3848" max="3848" width="13.85546875" style="14" bestFit="1" customWidth="1"/>
    <col min="3849" max="3849" width="18.7109375" style="14" bestFit="1" customWidth="1"/>
    <col min="3850" max="3850" width="14.140625" style="14" bestFit="1" customWidth="1"/>
    <col min="3851" max="3851" width="12" style="14" bestFit="1" customWidth="1"/>
    <col min="3852" max="3852" width="16.5703125" style="14" bestFit="1" customWidth="1"/>
    <col min="3853" max="3853" width="14.140625" style="14" bestFit="1" customWidth="1"/>
    <col min="3854" max="3854" width="16.5703125" style="14" bestFit="1" customWidth="1"/>
    <col min="3855" max="3855" width="1.85546875" style="14" customWidth="1"/>
    <col min="3856" max="3858" width="14.140625" style="14" bestFit="1" customWidth="1"/>
    <col min="3859" max="3859" width="9.5703125" style="14" customWidth="1"/>
    <col min="3860" max="3860" width="14.140625" style="14" bestFit="1" customWidth="1"/>
    <col min="3861" max="3861" width="9.5703125" style="14" bestFit="1" customWidth="1"/>
    <col min="3862" max="3862" width="11.42578125" style="14" customWidth="1"/>
    <col min="3863" max="3863" width="1.5703125" style="14" customWidth="1"/>
    <col min="3864" max="3864" width="16.5703125" style="14" bestFit="1" customWidth="1"/>
    <col min="3865" max="3865" width="1.5703125" style="14" customWidth="1"/>
    <col min="3866" max="3866" width="9.28515625" style="14" customWidth="1"/>
    <col min="3867" max="3867" width="0.85546875" style="14" customWidth="1"/>
    <col min="3868" max="3868" width="16.5703125" style="14" bestFit="1" customWidth="1"/>
    <col min="3869" max="3877" width="11.7109375" style="14" customWidth="1"/>
    <col min="3878" max="4096" width="17.28515625" style="14"/>
    <col min="4097" max="4097" width="4" style="14" customWidth="1"/>
    <col min="4098" max="4098" width="32.5703125" style="14" customWidth="1"/>
    <col min="4099" max="4099" width="9.42578125" style="14" bestFit="1" customWidth="1"/>
    <col min="4100" max="4100" width="20.85546875" style="14" customWidth="1"/>
    <col min="4101" max="4101" width="18" style="14" customWidth="1"/>
    <col min="4102" max="4102" width="2" style="14" customWidth="1"/>
    <col min="4103" max="4103" width="16.5703125" style="14" bestFit="1" customWidth="1"/>
    <col min="4104" max="4104" width="13.85546875" style="14" bestFit="1" customWidth="1"/>
    <col min="4105" max="4105" width="18.7109375" style="14" bestFit="1" customWidth="1"/>
    <col min="4106" max="4106" width="14.140625" style="14" bestFit="1" customWidth="1"/>
    <col min="4107" max="4107" width="12" style="14" bestFit="1" customWidth="1"/>
    <col min="4108" max="4108" width="16.5703125" style="14" bestFit="1" customWidth="1"/>
    <col min="4109" max="4109" width="14.140625" style="14" bestFit="1" customWidth="1"/>
    <col min="4110" max="4110" width="16.5703125" style="14" bestFit="1" customWidth="1"/>
    <col min="4111" max="4111" width="1.85546875" style="14" customWidth="1"/>
    <col min="4112" max="4114" width="14.140625" style="14" bestFit="1" customWidth="1"/>
    <col min="4115" max="4115" width="9.5703125" style="14" customWidth="1"/>
    <col min="4116" max="4116" width="14.140625" style="14" bestFit="1" customWidth="1"/>
    <col min="4117" max="4117" width="9.5703125" style="14" bestFit="1" customWidth="1"/>
    <col min="4118" max="4118" width="11.42578125" style="14" customWidth="1"/>
    <col min="4119" max="4119" width="1.5703125" style="14" customWidth="1"/>
    <col min="4120" max="4120" width="16.5703125" style="14" bestFit="1" customWidth="1"/>
    <col min="4121" max="4121" width="1.5703125" style="14" customWidth="1"/>
    <col min="4122" max="4122" width="9.28515625" style="14" customWidth="1"/>
    <col min="4123" max="4123" width="0.85546875" style="14" customWidth="1"/>
    <col min="4124" max="4124" width="16.5703125" style="14" bestFit="1" customWidth="1"/>
    <col min="4125" max="4133" width="11.7109375" style="14" customWidth="1"/>
    <col min="4134" max="4352" width="17.28515625" style="14"/>
    <col min="4353" max="4353" width="4" style="14" customWidth="1"/>
    <col min="4354" max="4354" width="32.5703125" style="14" customWidth="1"/>
    <col min="4355" max="4355" width="9.42578125" style="14" bestFit="1" customWidth="1"/>
    <col min="4356" max="4356" width="20.85546875" style="14" customWidth="1"/>
    <col min="4357" max="4357" width="18" style="14" customWidth="1"/>
    <col min="4358" max="4358" width="2" style="14" customWidth="1"/>
    <col min="4359" max="4359" width="16.5703125" style="14" bestFit="1" customWidth="1"/>
    <col min="4360" max="4360" width="13.85546875" style="14" bestFit="1" customWidth="1"/>
    <col min="4361" max="4361" width="18.7109375" style="14" bestFit="1" customWidth="1"/>
    <col min="4362" max="4362" width="14.140625" style="14" bestFit="1" customWidth="1"/>
    <col min="4363" max="4363" width="12" style="14" bestFit="1" customWidth="1"/>
    <col min="4364" max="4364" width="16.5703125" style="14" bestFit="1" customWidth="1"/>
    <col min="4365" max="4365" width="14.140625" style="14" bestFit="1" customWidth="1"/>
    <col min="4366" max="4366" width="16.5703125" style="14" bestFit="1" customWidth="1"/>
    <col min="4367" max="4367" width="1.85546875" style="14" customWidth="1"/>
    <col min="4368" max="4370" width="14.140625" style="14" bestFit="1" customWidth="1"/>
    <col min="4371" max="4371" width="9.5703125" style="14" customWidth="1"/>
    <col min="4372" max="4372" width="14.140625" style="14" bestFit="1" customWidth="1"/>
    <col min="4373" max="4373" width="9.5703125" style="14" bestFit="1" customWidth="1"/>
    <col min="4374" max="4374" width="11.42578125" style="14" customWidth="1"/>
    <col min="4375" max="4375" width="1.5703125" style="14" customWidth="1"/>
    <col min="4376" max="4376" width="16.5703125" style="14" bestFit="1" customWidth="1"/>
    <col min="4377" max="4377" width="1.5703125" style="14" customWidth="1"/>
    <col min="4378" max="4378" width="9.28515625" style="14" customWidth="1"/>
    <col min="4379" max="4379" width="0.85546875" style="14" customWidth="1"/>
    <col min="4380" max="4380" width="16.5703125" style="14" bestFit="1" customWidth="1"/>
    <col min="4381" max="4389" width="11.7109375" style="14" customWidth="1"/>
    <col min="4390" max="4608" width="17.28515625" style="14"/>
    <col min="4609" max="4609" width="4" style="14" customWidth="1"/>
    <col min="4610" max="4610" width="32.5703125" style="14" customWidth="1"/>
    <col min="4611" max="4611" width="9.42578125" style="14" bestFit="1" customWidth="1"/>
    <col min="4612" max="4612" width="20.85546875" style="14" customWidth="1"/>
    <col min="4613" max="4613" width="18" style="14" customWidth="1"/>
    <col min="4614" max="4614" width="2" style="14" customWidth="1"/>
    <col min="4615" max="4615" width="16.5703125" style="14" bestFit="1" customWidth="1"/>
    <col min="4616" max="4616" width="13.85546875" style="14" bestFit="1" customWidth="1"/>
    <col min="4617" max="4617" width="18.7109375" style="14" bestFit="1" customWidth="1"/>
    <col min="4618" max="4618" width="14.140625" style="14" bestFit="1" customWidth="1"/>
    <col min="4619" max="4619" width="12" style="14" bestFit="1" customWidth="1"/>
    <col min="4620" max="4620" width="16.5703125" style="14" bestFit="1" customWidth="1"/>
    <col min="4621" max="4621" width="14.140625" style="14" bestFit="1" customWidth="1"/>
    <col min="4622" max="4622" width="16.5703125" style="14" bestFit="1" customWidth="1"/>
    <col min="4623" max="4623" width="1.85546875" style="14" customWidth="1"/>
    <col min="4624" max="4626" width="14.140625" style="14" bestFit="1" customWidth="1"/>
    <col min="4627" max="4627" width="9.5703125" style="14" customWidth="1"/>
    <col min="4628" max="4628" width="14.140625" style="14" bestFit="1" customWidth="1"/>
    <col min="4629" max="4629" width="9.5703125" style="14" bestFit="1" customWidth="1"/>
    <col min="4630" max="4630" width="11.42578125" style="14" customWidth="1"/>
    <col min="4631" max="4631" width="1.5703125" style="14" customWidth="1"/>
    <col min="4632" max="4632" width="16.5703125" style="14" bestFit="1" customWidth="1"/>
    <col min="4633" max="4633" width="1.5703125" style="14" customWidth="1"/>
    <col min="4634" max="4634" width="9.28515625" style="14" customWidth="1"/>
    <col min="4635" max="4635" width="0.85546875" style="14" customWidth="1"/>
    <col min="4636" max="4636" width="16.5703125" style="14" bestFit="1" customWidth="1"/>
    <col min="4637" max="4645" width="11.7109375" style="14" customWidth="1"/>
    <col min="4646" max="4864" width="17.28515625" style="14"/>
    <col min="4865" max="4865" width="4" style="14" customWidth="1"/>
    <col min="4866" max="4866" width="32.5703125" style="14" customWidth="1"/>
    <col min="4867" max="4867" width="9.42578125" style="14" bestFit="1" customWidth="1"/>
    <col min="4868" max="4868" width="20.85546875" style="14" customWidth="1"/>
    <col min="4869" max="4869" width="18" style="14" customWidth="1"/>
    <col min="4870" max="4870" width="2" style="14" customWidth="1"/>
    <col min="4871" max="4871" width="16.5703125" style="14" bestFit="1" customWidth="1"/>
    <col min="4872" max="4872" width="13.85546875" style="14" bestFit="1" customWidth="1"/>
    <col min="4873" max="4873" width="18.7109375" style="14" bestFit="1" customWidth="1"/>
    <col min="4874" max="4874" width="14.140625" style="14" bestFit="1" customWidth="1"/>
    <col min="4875" max="4875" width="12" style="14" bestFit="1" customWidth="1"/>
    <col min="4876" max="4876" width="16.5703125" style="14" bestFit="1" customWidth="1"/>
    <col min="4877" max="4877" width="14.140625" style="14" bestFit="1" customWidth="1"/>
    <col min="4878" max="4878" width="16.5703125" style="14" bestFit="1" customWidth="1"/>
    <col min="4879" max="4879" width="1.85546875" style="14" customWidth="1"/>
    <col min="4880" max="4882" width="14.140625" style="14" bestFit="1" customWidth="1"/>
    <col min="4883" max="4883" width="9.5703125" style="14" customWidth="1"/>
    <col min="4884" max="4884" width="14.140625" style="14" bestFit="1" customWidth="1"/>
    <col min="4885" max="4885" width="9.5703125" style="14" bestFit="1" customWidth="1"/>
    <col min="4886" max="4886" width="11.42578125" style="14" customWidth="1"/>
    <col min="4887" max="4887" width="1.5703125" style="14" customWidth="1"/>
    <col min="4888" max="4888" width="16.5703125" style="14" bestFit="1" customWidth="1"/>
    <col min="4889" max="4889" width="1.5703125" style="14" customWidth="1"/>
    <col min="4890" max="4890" width="9.28515625" style="14" customWidth="1"/>
    <col min="4891" max="4891" width="0.85546875" style="14" customWidth="1"/>
    <col min="4892" max="4892" width="16.5703125" style="14" bestFit="1" customWidth="1"/>
    <col min="4893" max="4901" width="11.7109375" style="14" customWidth="1"/>
    <col min="4902" max="5120" width="17.28515625" style="14"/>
    <col min="5121" max="5121" width="4" style="14" customWidth="1"/>
    <col min="5122" max="5122" width="32.5703125" style="14" customWidth="1"/>
    <col min="5123" max="5123" width="9.42578125" style="14" bestFit="1" customWidth="1"/>
    <col min="5124" max="5124" width="20.85546875" style="14" customWidth="1"/>
    <col min="5125" max="5125" width="18" style="14" customWidth="1"/>
    <col min="5126" max="5126" width="2" style="14" customWidth="1"/>
    <col min="5127" max="5127" width="16.5703125" style="14" bestFit="1" customWidth="1"/>
    <col min="5128" max="5128" width="13.85546875" style="14" bestFit="1" customWidth="1"/>
    <col min="5129" max="5129" width="18.7109375" style="14" bestFit="1" customWidth="1"/>
    <col min="5130" max="5130" width="14.140625" style="14" bestFit="1" customWidth="1"/>
    <col min="5131" max="5131" width="12" style="14" bestFit="1" customWidth="1"/>
    <col min="5132" max="5132" width="16.5703125" style="14" bestFit="1" customWidth="1"/>
    <col min="5133" max="5133" width="14.140625" style="14" bestFit="1" customWidth="1"/>
    <col min="5134" max="5134" width="16.5703125" style="14" bestFit="1" customWidth="1"/>
    <col min="5135" max="5135" width="1.85546875" style="14" customWidth="1"/>
    <col min="5136" max="5138" width="14.140625" style="14" bestFit="1" customWidth="1"/>
    <col min="5139" max="5139" width="9.5703125" style="14" customWidth="1"/>
    <col min="5140" max="5140" width="14.140625" style="14" bestFit="1" customWidth="1"/>
    <col min="5141" max="5141" width="9.5703125" style="14" bestFit="1" customWidth="1"/>
    <col min="5142" max="5142" width="11.42578125" style="14" customWidth="1"/>
    <col min="5143" max="5143" width="1.5703125" style="14" customWidth="1"/>
    <col min="5144" max="5144" width="16.5703125" style="14" bestFit="1" customWidth="1"/>
    <col min="5145" max="5145" width="1.5703125" style="14" customWidth="1"/>
    <col min="5146" max="5146" width="9.28515625" style="14" customWidth="1"/>
    <col min="5147" max="5147" width="0.85546875" style="14" customWidth="1"/>
    <col min="5148" max="5148" width="16.5703125" style="14" bestFit="1" customWidth="1"/>
    <col min="5149" max="5157" width="11.7109375" style="14" customWidth="1"/>
    <col min="5158" max="5376" width="17.28515625" style="14"/>
    <col min="5377" max="5377" width="4" style="14" customWidth="1"/>
    <col min="5378" max="5378" width="32.5703125" style="14" customWidth="1"/>
    <col min="5379" max="5379" width="9.42578125" style="14" bestFit="1" customWidth="1"/>
    <col min="5380" max="5380" width="20.85546875" style="14" customWidth="1"/>
    <col min="5381" max="5381" width="18" style="14" customWidth="1"/>
    <col min="5382" max="5382" width="2" style="14" customWidth="1"/>
    <col min="5383" max="5383" width="16.5703125" style="14" bestFit="1" customWidth="1"/>
    <col min="5384" max="5384" width="13.85546875" style="14" bestFit="1" customWidth="1"/>
    <col min="5385" max="5385" width="18.7109375" style="14" bestFit="1" customWidth="1"/>
    <col min="5386" max="5386" width="14.140625" style="14" bestFit="1" customWidth="1"/>
    <col min="5387" max="5387" width="12" style="14" bestFit="1" customWidth="1"/>
    <col min="5388" max="5388" width="16.5703125" style="14" bestFit="1" customWidth="1"/>
    <col min="5389" max="5389" width="14.140625" style="14" bestFit="1" customWidth="1"/>
    <col min="5390" max="5390" width="16.5703125" style="14" bestFit="1" customWidth="1"/>
    <col min="5391" max="5391" width="1.85546875" style="14" customWidth="1"/>
    <col min="5392" max="5394" width="14.140625" style="14" bestFit="1" customWidth="1"/>
    <col min="5395" max="5395" width="9.5703125" style="14" customWidth="1"/>
    <col min="5396" max="5396" width="14.140625" style="14" bestFit="1" customWidth="1"/>
    <col min="5397" max="5397" width="9.5703125" style="14" bestFit="1" customWidth="1"/>
    <col min="5398" max="5398" width="11.42578125" style="14" customWidth="1"/>
    <col min="5399" max="5399" width="1.5703125" style="14" customWidth="1"/>
    <col min="5400" max="5400" width="16.5703125" style="14" bestFit="1" customWidth="1"/>
    <col min="5401" max="5401" width="1.5703125" style="14" customWidth="1"/>
    <col min="5402" max="5402" width="9.28515625" style="14" customWidth="1"/>
    <col min="5403" max="5403" width="0.85546875" style="14" customWidth="1"/>
    <col min="5404" max="5404" width="16.5703125" style="14" bestFit="1" customWidth="1"/>
    <col min="5405" max="5413" width="11.7109375" style="14" customWidth="1"/>
    <col min="5414" max="5632" width="17.28515625" style="14"/>
    <col min="5633" max="5633" width="4" style="14" customWidth="1"/>
    <col min="5634" max="5634" width="32.5703125" style="14" customWidth="1"/>
    <col min="5635" max="5635" width="9.42578125" style="14" bestFit="1" customWidth="1"/>
    <col min="5636" max="5636" width="20.85546875" style="14" customWidth="1"/>
    <col min="5637" max="5637" width="18" style="14" customWidth="1"/>
    <col min="5638" max="5638" width="2" style="14" customWidth="1"/>
    <col min="5639" max="5639" width="16.5703125" style="14" bestFit="1" customWidth="1"/>
    <col min="5640" max="5640" width="13.85546875" style="14" bestFit="1" customWidth="1"/>
    <col min="5641" max="5641" width="18.7109375" style="14" bestFit="1" customWidth="1"/>
    <col min="5642" max="5642" width="14.140625" style="14" bestFit="1" customWidth="1"/>
    <col min="5643" max="5643" width="12" style="14" bestFit="1" customWidth="1"/>
    <col min="5644" max="5644" width="16.5703125" style="14" bestFit="1" customWidth="1"/>
    <col min="5645" max="5645" width="14.140625" style="14" bestFit="1" customWidth="1"/>
    <col min="5646" max="5646" width="16.5703125" style="14" bestFit="1" customWidth="1"/>
    <col min="5647" max="5647" width="1.85546875" style="14" customWidth="1"/>
    <col min="5648" max="5650" width="14.140625" style="14" bestFit="1" customWidth="1"/>
    <col min="5651" max="5651" width="9.5703125" style="14" customWidth="1"/>
    <col min="5652" max="5652" width="14.140625" style="14" bestFit="1" customWidth="1"/>
    <col min="5653" max="5653" width="9.5703125" style="14" bestFit="1" customWidth="1"/>
    <col min="5654" max="5654" width="11.42578125" style="14" customWidth="1"/>
    <col min="5655" max="5655" width="1.5703125" style="14" customWidth="1"/>
    <col min="5656" max="5656" width="16.5703125" style="14" bestFit="1" customWidth="1"/>
    <col min="5657" max="5657" width="1.5703125" style="14" customWidth="1"/>
    <col min="5658" max="5658" width="9.28515625" style="14" customWidth="1"/>
    <col min="5659" max="5659" width="0.85546875" style="14" customWidth="1"/>
    <col min="5660" max="5660" width="16.5703125" style="14" bestFit="1" customWidth="1"/>
    <col min="5661" max="5669" width="11.7109375" style="14" customWidth="1"/>
    <col min="5670" max="5888" width="17.28515625" style="14"/>
    <col min="5889" max="5889" width="4" style="14" customWidth="1"/>
    <col min="5890" max="5890" width="32.5703125" style="14" customWidth="1"/>
    <col min="5891" max="5891" width="9.42578125" style="14" bestFit="1" customWidth="1"/>
    <col min="5892" max="5892" width="20.85546875" style="14" customWidth="1"/>
    <col min="5893" max="5893" width="18" style="14" customWidth="1"/>
    <col min="5894" max="5894" width="2" style="14" customWidth="1"/>
    <col min="5895" max="5895" width="16.5703125" style="14" bestFit="1" customWidth="1"/>
    <col min="5896" max="5896" width="13.85546875" style="14" bestFit="1" customWidth="1"/>
    <col min="5897" max="5897" width="18.7109375" style="14" bestFit="1" customWidth="1"/>
    <col min="5898" max="5898" width="14.140625" style="14" bestFit="1" customWidth="1"/>
    <col min="5899" max="5899" width="12" style="14" bestFit="1" customWidth="1"/>
    <col min="5900" max="5900" width="16.5703125" style="14" bestFit="1" customWidth="1"/>
    <col min="5901" max="5901" width="14.140625" style="14" bestFit="1" customWidth="1"/>
    <col min="5902" max="5902" width="16.5703125" style="14" bestFit="1" customWidth="1"/>
    <col min="5903" max="5903" width="1.85546875" style="14" customWidth="1"/>
    <col min="5904" max="5906" width="14.140625" style="14" bestFit="1" customWidth="1"/>
    <col min="5907" max="5907" width="9.5703125" style="14" customWidth="1"/>
    <col min="5908" max="5908" width="14.140625" style="14" bestFit="1" customWidth="1"/>
    <col min="5909" max="5909" width="9.5703125" style="14" bestFit="1" customWidth="1"/>
    <col min="5910" max="5910" width="11.42578125" style="14" customWidth="1"/>
    <col min="5911" max="5911" width="1.5703125" style="14" customWidth="1"/>
    <col min="5912" max="5912" width="16.5703125" style="14" bestFit="1" customWidth="1"/>
    <col min="5913" max="5913" width="1.5703125" style="14" customWidth="1"/>
    <col min="5914" max="5914" width="9.28515625" style="14" customWidth="1"/>
    <col min="5915" max="5915" width="0.85546875" style="14" customWidth="1"/>
    <col min="5916" max="5916" width="16.5703125" style="14" bestFit="1" customWidth="1"/>
    <col min="5917" max="5925" width="11.7109375" style="14" customWidth="1"/>
    <col min="5926" max="6144" width="17.28515625" style="14"/>
    <col min="6145" max="6145" width="4" style="14" customWidth="1"/>
    <col min="6146" max="6146" width="32.5703125" style="14" customWidth="1"/>
    <col min="6147" max="6147" width="9.42578125" style="14" bestFit="1" customWidth="1"/>
    <col min="6148" max="6148" width="20.85546875" style="14" customWidth="1"/>
    <col min="6149" max="6149" width="18" style="14" customWidth="1"/>
    <col min="6150" max="6150" width="2" style="14" customWidth="1"/>
    <col min="6151" max="6151" width="16.5703125" style="14" bestFit="1" customWidth="1"/>
    <col min="6152" max="6152" width="13.85546875" style="14" bestFit="1" customWidth="1"/>
    <col min="6153" max="6153" width="18.7109375" style="14" bestFit="1" customWidth="1"/>
    <col min="6154" max="6154" width="14.140625" style="14" bestFit="1" customWidth="1"/>
    <col min="6155" max="6155" width="12" style="14" bestFit="1" customWidth="1"/>
    <col min="6156" max="6156" width="16.5703125" style="14" bestFit="1" customWidth="1"/>
    <col min="6157" max="6157" width="14.140625" style="14" bestFit="1" customWidth="1"/>
    <col min="6158" max="6158" width="16.5703125" style="14" bestFit="1" customWidth="1"/>
    <col min="6159" max="6159" width="1.85546875" style="14" customWidth="1"/>
    <col min="6160" max="6162" width="14.140625" style="14" bestFit="1" customWidth="1"/>
    <col min="6163" max="6163" width="9.5703125" style="14" customWidth="1"/>
    <col min="6164" max="6164" width="14.140625" style="14" bestFit="1" customWidth="1"/>
    <col min="6165" max="6165" width="9.5703125" style="14" bestFit="1" customWidth="1"/>
    <col min="6166" max="6166" width="11.42578125" style="14" customWidth="1"/>
    <col min="6167" max="6167" width="1.5703125" style="14" customWidth="1"/>
    <col min="6168" max="6168" width="16.5703125" style="14" bestFit="1" customWidth="1"/>
    <col min="6169" max="6169" width="1.5703125" style="14" customWidth="1"/>
    <col min="6170" max="6170" width="9.28515625" style="14" customWidth="1"/>
    <col min="6171" max="6171" width="0.85546875" style="14" customWidth="1"/>
    <col min="6172" max="6172" width="16.5703125" style="14" bestFit="1" customWidth="1"/>
    <col min="6173" max="6181" width="11.7109375" style="14" customWidth="1"/>
    <col min="6182" max="6400" width="17.28515625" style="14"/>
    <col min="6401" max="6401" width="4" style="14" customWidth="1"/>
    <col min="6402" max="6402" width="32.5703125" style="14" customWidth="1"/>
    <col min="6403" max="6403" width="9.42578125" style="14" bestFit="1" customWidth="1"/>
    <col min="6404" max="6404" width="20.85546875" style="14" customWidth="1"/>
    <col min="6405" max="6405" width="18" style="14" customWidth="1"/>
    <col min="6406" max="6406" width="2" style="14" customWidth="1"/>
    <col min="6407" max="6407" width="16.5703125" style="14" bestFit="1" customWidth="1"/>
    <col min="6408" max="6408" width="13.85546875" style="14" bestFit="1" customWidth="1"/>
    <col min="6409" max="6409" width="18.7109375" style="14" bestFit="1" customWidth="1"/>
    <col min="6410" max="6410" width="14.140625" style="14" bestFit="1" customWidth="1"/>
    <col min="6411" max="6411" width="12" style="14" bestFit="1" customWidth="1"/>
    <col min="6412" max="6412" width="16.5703125" style="14" bestFit="1" customWidth="1"/>
    <col min="6413" max="6413" width="14.140625" style="14" bestFit="1" customWidth="1"/>
    <col min="6414" max="6414" width="16.5703125" style="14" bestFit="1" customWidth="1"/>
    <col min="6415" max="6415" width="1.85546875" style="14" customWidth="1"/>
    <col min="6416" max="6418" width="14.140625" style="14" bestFit="1" customWidth="1"/>
    <col min="6419" max="6419" width="9.5703125" style="14" customWidth="1"/>
    <col min="6420" max="6420" width="14.140625" style="14" bestFit="1" customWidth="1"/>
    <col min="6421" max="6421" width="9.5703125" style="14" bestFit="1" customWidth="1"/>
    <col min="6422" max="6422" width="11.42578125" style="14" customWidth="1"/>
    <col min="6423" max="6423" width="1.5703125" style="14" customWidth="1"/>
    <col min="6424" max="6424" width="16.5703125" style="14" bestFit="1" customWidth="1"/>
    <col min="6425" max="6425" width="1.5703125" style="14" customWidth="1"/>
    <col min="6426" max="6426" width="9.28515625" style="14" customWidth="1"/>
    <col min="6427" max="6427" width="0.85546875" style="14" customWidth="1"/>
    <col min="6428" max="6428" width="16.5703125" style="14" bestFit="1" customWidth="1"/>
    <col min="6429" max="6437" width="11.7109375" style="14" customWidth="1"/>
    <col min="6438" max="6656" width="17.28515625" style="14"/>
    <col min="6657" max="6657" width="4" style="14" customWidth="1"/>
    <col min="6658" max="6658" width="32.5703125" style="14" customWidth="1"/>
    <col min="6659" max="6659" width="9.42578125" style="14" bestFit="1" customWidth="1"/>
    <col min="6660" max="6660" width="20.85546875" style="14" customWidth="1"/>
    <col min="6661" max="6661" width="18" style="14" customWidth="1"/>
    <col min="6662" max="6662" width="2" style="14" customWidth="1"/>
    <col min="6663" max="6663" width="16.5703125" style="14" bestFit="1" customWidth="1"/>
    <col min="6664" max="6664" width="13.85546875" style="14" bestFit="1" customWidth="1"/>
    <col min="6665" max="6665" width="18.7109375" style="14" bestFit="1" customWidth="1"/>
    <col min="6666" max="6666" width="14.140625" style="14" bestFit="1" customWidth="1"/>
    <col min="6667" max="6667" width="12" style="14" bestFit="1" customWidth="1"/>
    <col min="6668" max="6668" width="16.5703125" style="14" bestFit="1" customWidth="1"/>
    <col min="6669" max="6669" width="14.140625" style="14" bestFit="1" customWidth="1"/>
    <col min="6670" max="6670" width="16.5703125" style="14" bestFit="1" customWidth="1"/>
    <col min="6671" max="6671" width="1.85546875" style="14" customWidth="1"/>
    <col min="6672" max="6674" width="14.140625" style="14" bestFit="1" customWidth="1"/>
    <col min="6675" max="6675" width="9.5703125" style="14" customWidth="1"/>
    <col min="6676" max="6676" width="14.140625" style="14" bestFit="1" customWidth="1"/>
    <col min="6677" max="6677" width="9.5703125" style="14" bestFit="1" customWidth="1"/>
    <col min="6678" max="6678" width="11.42578125" style="14" customWidth="1"/>
    <col min="6679" max="6679" width="1.5703125" style="14" customWidth="1"/>
    <col min="6680" max="6680" width="16.5703125" style="14" bestFit="1" customWidth="1"/>
    <col min="6681" max="6681" width="1.5703125" style="14" customWidth="1"/>
    <col min="6682" max="6682" width="9.28515625" style="14" customWidth="1"/>
    <col min="6683" max="6683" width="0.85546875" style="14" customWidth="1"/>
    <col min="6684" max="6684" width="16.5703125" style="14" bestFit="1" customWidth="1"/>
    <col min="6685" max="6693" width="11.7109375" style="14" customWidth="1"/>
    <col min="6694" max="6912" width="17.28515625" style="14"/>
    <col min="6913" max="6913" width="4" style="14" customWidth="1"/>
    <col min="6914" max="6914" width="32.5703125" style="14" customWidth="1"/>
    <col min="6915" max="6915" width="9.42578125" style="14" bestFit="1" customWidth="1"/>
    <col min="6916" max="6916" width="20.85546875" style="14" customWidth="1"/>
    <col min="6917" max="6917" width="18" style="14" customWidth="1"/>
    <col min="6918" max="6918" width="2" style="14" customWidth="1"/>
    <col min="6919" max="6919" width="16.5703125" style="14" bestFit="1" customWidth="1"/>
    <col min="6920" max="6920" width="13.85546875" style="14" bestFit="1" customWidth="1"/>
    <col min="6921" max="6921" width="18.7109375" style="14" bestFit="1" customWidth="1"/>
    <col min="6922" max="6922" width="14.140625" style="14" bestFit="1" customWidth="1"/>
    <col min="6923" max="6923" width="12" style="14" bestFit="1" customWidth="1"/>
    <col min="6924" max="6924" width="16.5703125" style="14" bestFit="1" customWidth="1"/>
    <col min="6925" max="6925" width="14.140625" style="14" bestFit="1" customWidth="1"/>
    <col min="6926" max="6926" width="16.5703125" style="14" bestFit="1" customWidth="1"/>
    <col min="6927" max="6927" width="1.85546875" style="14" customWidth="1"/>
    <col min="6928" max="6930" width="14.140625" style="14" bestFit="1" customWidth="1"/>
    <col min="6931" max="6931" width="9.5703125" style="14" customWidth="1"/>
    <col min="6932" max="6932" width="14.140625" style="14" bestFit="1" customWidth="1"/>
    <col min="6933" max="6933" width="9.5703125" style="14" bestFit="1" customWidth="1"/>
    <col min="6934" max="6934" width="11.42578125" style="14" customWidth="1"/>
    <col min="6935" max="6935" width="1.5703125" style="14" customWidth="1"/>
    <col min="6936" max="6936" width="16.5703125" style="14" bestFit="1" customWidth="1"/>
    <col min="6937" max="6937" width="1.5703125" style="14" customWidth="1"/>
    <col min="6938" max="6938" width="9.28515625" style="14" customWidth="1"/>
    <col min="6939" max="6939" width="0.85546875" style="14" customWidth="1"/>
    <col min="6940" max="6940" width="16.5703125" style="14" bestFit="1" customWidth="1"/>
    <col min="6941" max="6949" width="11.7109375" style="14" customWidth="1"/>
    <col min="6950" max="7168" width="17.28515625" style="14"/>
    <col min="7169" max="7169" width="4" style="14" customWidth="1"/>
    <col min="7170" max="7170" width="32.5703125" style="14" customWidth="1"/>
    <col min="7171" max="7171" width="9.42578125" style="14" bestFit="1" customWidth="1"/>
    <col min="7172" max="7172" width="20.85546875" style="14" customWidth="1"/>
    <col min="7173" max="7173" width="18" style="14" customWidth="1"/>
    <col min="7174" max="7174" width="2" style="14" customWidth="1"/>
    <col min="7175" max="7175" width="16.5703125" style="14" bestFit="1" customWidth="1"/>
    <col min="7176" max="7176" width="13.85546875" style="14" bestFit="1" customWidth="1"/>
    <col min="7177" max="7177" width="18.7109375" style="14" bestFit="1" customWidth="1"/>
    <col min="7178" max="7178" width="14.140625" style="14" bestFit="1" customWidth="1"/>
    <col min="7179" max="7179" width="12" style="14" bestFit="1" customWidth="1"/>
    <col min="7180" max="7180" width="16.5703125" style="14" bestFit="1" customWidth="1"/>
    <col min="7181" max="7181" width="14.140625" style="14" bestFit="1" customWidth="1"/>
    <col min="7182" max="7182" width="16.5703125" style="14" bestFit="1" customWidth="1"/>
    <col min="7183" max="7183" width="1.85546875" style="14" customWidth="1"/>
    <col min="7184" max="7186" width="14.140625" style="14" bestFit="1" customWidth="1"/>
    <col min="7187" max="7187" width="9.5703125" style="14" customWidth="1"/>
    <col min="7188" max="7188" width="14.140625" style="14" bestFit="1" customWidth="1"/>
    <col min="7189" max="7189" width="9.5703125" style="14" bestFit="1" customWidth="1"/>
    <col min="7190" max="7190" width="11.42578125" style="14" customWidth="1"/>
    <col min="7191" max="7191" width="1.5703125" style="14" customWidth="1"/>
    <col min="7192" max="7192" width="16.5703125" style="14" bestFit="1" customWidth="1"/>
    <col min="7193" max="7193" width="1.5703125" style="14" customWidth="1"/>
    <col min="7194" max="7194" width="9.28515625" style="14" customWidth="1"/>
    <col min="7195" max="7195" width="0.85546875" style="14" customWidth="1"/>
    <col min="7196" max="7196" width="16.5703125" style="14" bestFit="1" customWidth="1"/>
    <col min="7197" max="7205" width="11.7109375" style="14" customWidth="1"/>
    <col min="7206" max="7424" width="17.28515625" style="14"/>
    <col min="7425" max="7425" width="4" style="14" customWidth="1"/>
    <col min="7426" max="7426" width="32.5703125" style="14" customWidth="1"/>
    <col min="7427" max="7427" width="9.42578125" style="14" bestFit="1" customWidth="1"/>
    <col min="7428" max="7428" width="20.85546875" style="14" customWidth="1"/>
    <col min="7429" max="7429" width="18" style="14" customWidth="1"/>
    <col min="7430" max="7430" width="2" style="14" customWidth="1"/>
    <col min="7431" max="7431" width="16.5703125" style="14" bestFit="1" customWidth="1"/>
    <col min="7432" max="7432" width="13.85546875" style="14" bestFit="1" customWidth="1"/>
    <col min="7433" max="7433" width="18.7109375" style="14" bestFit="1" customWidth="1"/>
    <col min="7434" max="7434" width="14.140625" style="14" bestFit="1" customWidth="1"/>
    <col min="7435" max="7435" width="12" style="14" bestFit="1" customWidth="1"/>
    <col min="7436" max="7436" width="16.5703125" style="14" bestFit="1" customWidth="1"/>
    <col min="7437" max="7437" width="14.140625" style="14" bestFit="1" customWidth="1"/>
    <col min="7438" max="7438" width="16.5703125" style="14" bestFit="1" customWidth="1"/>
    <col min="7439" max="7439" width="1.85546875" style="14" customWidth="1"/>
    <col min="7440" max="7442" width="14.140625" style="14" bestFit="1" customWidth="1"/>
    <col min="7443" max="7443" width="9.5703125" style="14" customWidth="1"/>
    <col min="7444" max="7444" width="14.140625" style="14" bestFit="1" customWidth="1"/>
    <col min="7445" max="7445" width="9.5703125" style="14" bestFit="1" customWidth="1"/>
    <col min="7446" max="7446" width="11.42578125" style="14" customWidth="1"/>
    <col min="7447" max="7447" width="1.5703125" style="14" customWidth="1"/>
    <col min="7448" max="7448" width="16.5703125" style="14" bestFit="1" customWidth="1"/>
    <col min="7449" max="7449" width="1.5703125" style="14" customWidth="1"/>
    <col min="7450" max="7450" width="9.28515625" style="14" customWidth="1"/>
    <col min="7451" max="7451" width="0.85546875" style="14" customWidth="1"/>
    <col min="7452" max="7452" width="16.5703125" style="14" bestFit="1" customWidth="1"/>
    <col min="7453" max="7461" width="11.7109375" style="14" customWidth="1"/>
    <col min="7462" max="7680" width="17.28515625" style="14"/>
    <col min="7681" max="7681" width="4" style="14" customWidth="1"/>
    <col min="7682" max="7682" width="32.5703125" style="14" customWidth="1"/>
    <col min="7683" max="7683" width="9.42578125" style="14" bestFit="1" customWidth="1"/>
    <col min="7684" max="7684" width="20.85546875" style="14" customWidth="1"/>
    <col min="7685" max="7685" width="18" style="14" customWidth="1"/>
    <col min="7686" max="7686" width="2" style="14" customWidth="1"/>
    <col min="7687" max="7687" width="16.5703125" style="14" bestFit="1" customWidth="1"/>
    <col min="7688" max="7688" width="13.85546875" style="14" bestFit="1" customWidth="1"/>
    <col min="7689" max="7689" width="18.7109375" style="14" bestFit="1" customWidth="1"/>
    <col min="7690" max="7690" width="14.140625" style="14" bestFit="1" customWidth="1"/>
    <col min="7691" max="7691" width="12" style="14" bestFit="1" customWidth="1"/>
    <col min="7692" max="7692" width="16.5703125" style="14" bestFit="1" customWidth="1"/>
    <col min="7693" max="7693" width="14.140625" style="14" bestFit="1" customWidth="1"/>
    <col min="7694" max="7694" width="16.5703125" style="14" bestFit="1" customWidth="1"/>
    <col min="7695" max="7695" width="1.85546875" style="14" customWidth="1"/>
    <col min="7696" max="7698" width="14.140625" style="14" bestFit="1" customWidth="1"/>
    <col min="7699" max="7699" width="9.5703125" style="14" customWidth="1"/>
    <col min="7700" max="7700" width="14.140625" style="14" bestFit="1" customWidth="1"/>
    <col min="7701" max="7701" width="9.5703125" style="14" bestFit="1" customWidth="1"/>
    <col min="7702" max="7702" width="11.42578125" style="14" customWidth="1"/>
    <col min="7703" max="7703" width="1.5703125" style="14" customWidth="1"/>
    <col min="7704" max="7704" width="16.5703125" style="14" bestFit="1" customWidth="1"/>
    <col min="7705" max="7705" width="1.5703125" style="14" customWidth="1"/>
    <col min="7706" max="7706" width="9.28515625" style="14" customWidth="1"/>
    <col min="7707" max="7707" width="0.85546875" style="14" customWidth="1"/>
    <col min="7708" max="7708" width="16.5703125" style="14" bestFit="1" customWidth="1"/>
    <col min="7709" max="7717" width="11.7109375" style="14" customWidth="1"/>
    <col min="7718" max="7936" width="17.28515625" style="14"/>
    <col min="7937" max="7937" width="4" style="14" customWidth="1"/>
    <col min="7938" max="7938" width="32.5703125" style="14" customWidth="1"/>
    <col min="7939" max="7939" width="9.42578125" style="14" bestFit="1" customWidth="1"/>
    <col min="7940" max="7940" width="20.85546875" style="14" customWidth="1"/>
    <col min="7941" max="7941" width="18" style="14" customWidth="1"/>
    <col min="7942" max="7942" width="2" style="14" customWidth="1"/>
    <col min="7943" max="7943" width="16.5703125" style="14" bestFit="1" customWidth="1"/>
    <col min="7944" max="7944" width="13.85546875" style="14" bestFit="1" customWidth="1"/>
    <col min="7945" max="7945" width="18.7109375" style="14" bestFit="1" customWidth="1"/>
    <col min="7946" max="7946" width="14.140625" style="14" bestFit="1" customWidth="1"/>
    <col min="7947" max="7947" width="12" style="14" bestFit="1" customWidth="1"/>
    <col min="7948" max="7948" width="16.5703125" style="14" bestFit="1" customWidth="1"/>
    <col min="7949" max="7949" width="14.140625" style="14" bestFit="1" customWidth="1"/>
    <col min="7950" max="7950" width="16.5703125" style="14" bestFit="1" customWidth="1"/>
    <col min="7951" max="7951" width="1.85546875" style="14" customWidth="1"/>
    <col min="7952" max="7954" width="14.140625" style="14" bestFit="1" customWidth="1"/>
    <col min="7955" max="7955" width="9.5703125" style="14" customWidth="1"/>
    <col min="7956" max="7956" width="14.140625" style="14" bestFit="1" customWidth="1"/>
    <col min="7957" max="7957" width="9.5703125" style="14" bestFit="1" customWidth="1"/>
    <col min="7958" max="7958" width="11.42578125" style="14" customWidth="1"/>
    <col min="7959" max="7959" width="1.5703125" style="14" customWidth="1"/>
    <col min="7960" max="7960" width="16.5703125" style="14" bestFit="1" customWidth="1"/>
    <col min="7961" max="7961" width="1.5703125" style="14" customWidth="1"/>
    <col min="7962" max="7962" width="9.28515625" style="14" customWidth="1"/>
    <col min="7963" max="7963" width="0.85546875" style="14" customWidth="1"/>
    <col min="7964" max="7964" width="16.5703125" style="14" bestFit="1" customWidth="1"/>
    <col min="7965" max="7973" width="11.7109375" style="14" customWidth="1"/>
    <col min="7974" max="8192" width="17.28515625" style="14"/>
    <col min="8193" max="8193" width="4" style="14" customWidth="1"/>
    <col min="8194" max="8194" width="32.5703125" style="14" customWidth="1"/>
    <col min="8195" max="8195" width="9.42578125" style="14" bestFit="1" customWidth="1"/>
    <col min="8196" max="8196" width="20.85546875" style="14" customWidth="1"/>
    <col min="8197" max="8197" width="18" style="14" customWidth="1"/>
    <col min="8198" max="8198" width="2" style="14" customWidth="1"/>
    <col min="8199" max="8199" width="16.5703125" style="14" bestFit="1" customWidth="1"/>
    <col min="8200" max="8200" width="13.85546875" style="14" bestFit="1" customWidth="1"/>
    <col min="8201" max="8201" width="18.7109375" style="14" bestFit="1" customWidth="1"/>
    <col min="8202" max="8202" width="14.140625" style="14" bestFit="1" customWidth="1"/>
    <col min="8203" max="8203" width="12" style="14" bestFit="1" customWidth="1"/>
    <col min="8204" max="8204" width="16.5703125" style="14" bestFit="1" customWidth="1"/>
    <col min="8205" max="8205" width="14.140625" style="14" bestFit="1" customWidth="1"/>
    <col min="8206" max="8206" width="16.5703125" style="14" bestFit="1" customWidth="1"/>
    <col min="8207" max="8207" width="1.85546875" style="14" customWidth="1"/>
    <col min="8208" max="8210" width="14.140625" style="14" bestFit="1" customWidth="1"/>
    <col min="8211" max="8211" width="9.5703125" style="14" customWidth="1"/>
    <col min="8212" max="8212" width="14.140625" style="14" bestFit="1" customWidth="1"/>
    <col min="8213" max="8213" width="9.5703125" style="14" bestFit="1" customWidth="1"/>
    <col min="8214" max="8214" width="11.42578125" style="14" customWidth="1"/>
    <col min="8215" max="8215" width="1.5703125" style="14" customWidth="1"/>
    <col min="8216" max="8216" width="16.5703125" style="14" bestFit="1" customWidth="1"/>
    <col min="8217" max="8217" width="1.5703125" style="14" customWidth="1"/>
    <col min="8218" max="8218" width="9.28515625" style="14" customWidth="1"/>
    <col min="8219" max="8219" width="0.85546875" style="14" customWidth="1"/>
    <col min="8220" max="8220" width="16.5703125" style="14" bestFit="1" customWidth="1"/>
    <col min="8221" max="8229" width="11.7109375" style="14" customWidth="1"/>
    <col min="8230" max="8448" width="17.28515625" style="14"/>
    <col min="8449" max="8449" width="4" style="14" customWidth="1"/>
    <col min="8450" max="8450" width="32.5703125" style="14" customWidth="1"/>
    <col min="8451" max="8451" width="9.42578125" style="14" bestFit="1" customWidth="1"/>
    <col min="8452" max="8452" width="20.85546875" style="14" customWidth="1"/>
    <col min="8453" max="8453" width="18" style="14" customWidth="1"/>
    <col min="8454" max="8454" width="2" style="14" customWidth="1"/>
    <col min="8455" max="8455" width="16.5703125" style="14" bestFit="1" customWidth="1"/>
    <col min="8456" max="8456" width="13.85546875" style="14" bestFit="1" customWidth="1"/>
    <col min="8457" max="8457" width="18.7109375" style="14" bestFit="1" customWidth="1"/>
    <col min="8458" max="8458" width="14.140625" style="14" bestFit="1" customWidth="1"/>
    <col min="8459" max="8459" width="12" style="14" bestFit="1" customWidth="1"/>
    <col min="8460" max="8460" width="16.5703125" style="14" bestFit="1" customWidth="1"/>
    <col min="8461" max="8461" width="14.140625" style="14" bestFit="1" customWidth="1"/>
    <col min="8462" max="8462" width="16.5703125" style="14" bestFit="1" customWidth="1"/>
    <col min="8463" max="8463" width="1.85546875" style="14" customWidth="1"/>
    <col min="8464" max="8466" width="14.140625" style="14" bestFit="1" customWidth="1"/>
    <col min="8467" max="8467" width="9.5703125" style="14" customWidth="1"/>
    <col min="8468" max="8468" width="14.140625" style="14" bestFit="1" customWidth="1"/>
    <col min="8469" max="8469" width="9.5703125" style="14" bestFit="1" customWidth="1"/>
    <col min="8470" max="8470" width="11.42578125" style="14" customWidth="1"/>
    <col min="8471" max="8471" width="1.5703125" style="14" customWidth="1"/>
    <col min="8472" max="8472" width="16.5703125" style="14" bestFit="1" customWidth="1"/>
    <col min="8473" max="8473" width="1.5703125" style="14" customWidth="1"/>
    <col min="8474" max="8474" width="9.28515625" style="14" customWidth="1"/>
    <col min="8475" max="8475" width="0.85546875" style="14" customWidth="1"/>
    <col min="8476" max="8476" width="16.5703125" style="14" bestFit="1" customWidth="1"/>
    <col min="8477" max="8485" width="11.7109375" style="14" customWidth="1"/>
    <col min="8486" max="8704" width="17.28515625" style="14"/>
    <col min="8705" max="8705" width="4" style="14" customWidth="1"/>
    <col min="8706" max="8706" width="32.5703125" style="14" customWidth="1"/>
    <col min="8707" max="8707" width="9.42578125" style="14" bestFit="1" customWidth="1"/>
    <col min="8708" max="8708" width="20.85546875" style="14" customWidth="1"/>
    <col min="8709" max="8709" width="18" style="14" customWidth="1"/>
    <col min="8710" max="8710" width="2" style="14" customWidth="1"/>
    <col min="8711" max="8711" width="16.5703125" style="14" bestFit="1" customWidth="1"/>
    <col min="8712" max="8712" width="13.85546875" style="14" bestFit="1" customWidth="1"/>
    <col min="8713" max="8713" width="18.7109375" style="14" bestFit="1" customWidth="1"/>
    <col min="8714" max="8714" width="14.140625" style="14" bestFit="1" customWidth="1"/>
    <col min="8715" max="8715" width="12" style="14" bestFit="1" customWidth="1"/>
    <col min="8716" max="8716" width="16.5703125" style="14" bestFit="1" customWidth="1"/>
    <col min="8717" max="8717" width="14.140625" style="14" bestFit="1" customWidth="1"/>
    <col min="8718" max="8718" width="16.5703125" style="14" bestFit="1" customWidth="1"/>
    <col min="8719" max="8719" width="1.85546875" style="14" customWidth="1"/>
    <col min="8720" max="8722" width="14.140625" style="14" bestFit="1" customWidth="1"/>
    <col min="8723" max="8723" width="9.5703125" style="14" customWidth="1"/>
    <col min="8724" max="8724" width="14.140625" style="14" bestFit="1" customWidth="1"/>
    <col min="8725" max="8725" width="9.5703125" style="14" bestFit="1" customWidth="1"/>
    <col min="8726" max="8726" width="11.42578125" style="14" customWidth="1"/>
    <col min="8727" max="8727" width="1.5703125" style="14" customWidth="1"/>
    <col min="8728" max="8728" width="16.5703125" style="14" bestFit="1" customWidth="1"/>
    <col min="8729" max="8729" width="1.5703125" style="14" customWidth="1"/>
    <col min="8730" max="8730" width="9.28515625" style="14" customWidth="1"/>
    <col min="8731" max="8731" width="0.85546875" style="14" customWidth="1"/>
    <col min="8732" max="8732" width="16.5703125" style="14" bestFit="1" customWidth="1"/>
    <col min="8733" max="8741" width="11.7109375" style="14" customWidth="1"/>
    <col min="8742" max="8960" width="17.28515625" style="14"/>
    <col min="8961" max="8961" width="4" style="14" customWidth="1"/>
    <col min="8962" max="8962" width="32.5703125" style="14" customWidth="1"/>
    <col min="8963" max="8963" width="9.42578125" style="14" bestFit="1" customWidth="1"/>
    <col min="8964" max="8964" width="20.85546875" style="14" customWidth="1"/>
    <col min="8965" max="8965" width="18" style="14" customWidth="1"/>
    <col min="8966" max="8966" width="2" style="14" customWidth="1"/>
    <col min="8967" max="8967" width="16.5703125" style="14" bestFit="1" customWidth="1"/>
    <col min="8968" max="8968" width="13.85546875" style="14" bestFit="1" customWidth="1"/>
    <col min="8969" max="8969" width="18.7109375" style="14" bestFit="1" customWidth="1"/>
    <col min="8970" max="8970" width="14.140625" style="14" bestFit="1" customWidth="1"/>
    <col min="8971" max="8971" width="12" style="14" bestFit="1" customWidth="1"/>
    <col min="8972" max="8972" width="16.5703125" style="14" bestFit="1" customWidth="1"/>
    <col min="8973" max="8973" width="14.140625" style="14" bestFit="1" customWidth="1"/>
    <col min="8974" max="8974" width="16.5703125" style="14" bestFit="1" customWidth="1"/>
    <col min="8975" max="8975" width="1.85546875" style="14" customWidth="1"/>
    <col min="8976" max="8978" width="14.140625" style="14" bestFit="1" customWidth="1"/>
    <col min="8979" max="8979" width="9.5703125" style="14" customWidth="1"/>
    <col min="8980" max="8980" width="14.140625" style="14" bestFit="1" customWidth="1"/>
    <col min="8981" max="8981" width="9.5703125" style="14" bestFit="1" customWidth="1"/>
    <col min="8982" max="8982" width="11.42578125" style="14" customWidth="1"/>
    <col min="8983" max="8983" width="1.5703125" style="14" customWidth="1"/>
    <col min="8984" max="8984" width="16.5703125" style="14" bestFit="1" customWidth="1"/>
    <col min="8985" max="8985" width="1.5703125" style="14" customWidth="1"/>
    <col min="8986" max="8986" width="9.28515625" style="14" customWidth="1"/>
    <col min="8987" max="8987" width="0.85546875" style="14" customWidth="1"/>
    <col min="8988" max="8988" width="16.5703125" style="14" bestFit="1" customWidth="1"/>
    <col min="8989" max="8997" width="11.7109375" style="14" customWidth="1"/>
    <col min="8998" max="9216" width="17.28515625" style="14"/>
    <col min="9217" max="9217" width="4" style="14" customWidth="1"/>
    <col min="9218" max="9218" width="32.5703125" style="14" customWidth="1"/>
    <col min="9219" max="9219" width="9.42578125" style="14" bestFit="1" customWidth="1"/>
    <col min="9220" max="9220" width="20.85546875" style="14" customWidth="1"/>
    <col min="9221" max="9221" width="18" style="14" customWidth="1"/>
    <col min="9222" max="9222" width="2" style="14" customWidth="1"/>
    <col min="9223" max="9223" width="16.5703125" style="14" bestFit="1" customWidth="1"/>
    <col min="9224" max="9224" width="13.85546875" style="14" bestFit="1" customWidth="1"/>
    <col min="9225" max="9225" width="18.7109375" style="14" bestFit="1" customWidth="1"/>
    <col min="9226" max="9226" width="14.140625" style="14" bestFit="1" customWidth="1"/>
    <col min="9227" max="9227" width="12" style="14" bestFit="1" customWidth="1"/>
    <col min="9228" max="9228" width="16.5703125" style="14" bestFit="1" customWidth="1"/>
    <col min="9229" max="9229" width="14.140625" style="14" bestFit="1" customWidth="1"/>
    <col min="9230" max="9230" width="16.5703125" style="14" bestFit="1" customWidth="1"/>
    <col min="9231" max="9231" width="1.85546875" style="14" customWidth="1"/>
    <col min="9232" max="9234" width="14.140625" style="14" bestFit="1" customWidth="1"/>
    <col min="9235" max="9235" width="9.5703125" style="14" customWidth="1"/>
    <col min="9236" max="9236" width="14.140625" style="14" bestFit="1" customWidth="1"/>
    <col min="9237" max="9237" width="9.5703125" style="14" bestFit="1" customWidth="1"/>
    <col min="9238" max="9238" width="11.42578125" style="14" customWidth="1"/>
    <col min="9239" max="9239" width="1.5703125" style="14" customWidth="1"/>
    <col min="9240" max="9240" width="16.5703125" style="14" bestFit="1" customWidth="1"/>
    <col min="9241" max="9241" width="1.5703125" style="14" customWidth="1"/>
    <col min="9242" max="9242" width="9.28515625" style="14" customWidth="1"/>
    <col min="9243" max="9243" width="0.85546875" style="14" customWidth="1"/>
    <col min="9244" max="9244" width="16.5703125" style="14" bestFit="1" customWidth="1"/>
    <col min="9245" max="9253" width="11.7109375" style="14" customWidth="1"/>
    <col min="9254" max="9472" width="17.28515625" style="14"/>
    <col min="9473" max="9473" width="4" style="14" customWidth="1"/>
    <col min="9474" max="9474" width="32.5703125" style="14" customWidth="1"/>
    <col min="9475" max="9475" width="9.42578125" style="14" bestFit="1" customWidth="1"/>
    <col min="9476" max="9476" width="20.85546875" style="14" customWidth="1"/>
    <col min="9477" max="9477" width="18" style="14" customWidth="1"/>
    <col min="9478" max="9478" width="2" style="14" customWidth="1"/>
    <col min="9479" max="9479" width="16.5703125" style="14" bestFit="1" customWidth="1"/>
    <col min="9480" max="9480" width="13.85546875" style="14" bestFit="1" customWidth="1"/>
    <col min="9481" max="9481" width="18.7109375" style="14" bestFit="1" customWidth="1"/>
    <col min="9482" max="9482" width="14.140625" style="14" bestFit="1" customWidth="1"/>
    <col min="9483" max="9483" width="12" style="14" bestFit="1" customWidth="1"/>
    <col min="9484" max="9484" width="16.5703125" style="14" bestFit="1" customWidth="1"/>
    <col min="9485" max="9485" width="14.140625" style="14" bestFit="1" customWidth="1"/>
    <col min="9486" max="9486" width="16.5703125" style="14" bestFit="1" customWidth="1"/>
    <col min="9487" max="9487" width="1.85546875" style="14" customWidth="1"/>
    <col min="9488" max="9490" width="14.140625" style="14" bestFit="1" customWidth="1"/>
    <col min="9491" max="9491" width="9.5703125" style="14" customWidth="1"/>
    <col min="9492" max="9492" width="14.140625" style="14" bestFit="1" customWidth="1"/>
    <col min="9493" max="9493" width="9.5703125" style="14" bestFit="1" customWidth="1"/>
    <col min="9494" max="9494" width="11.42578125" style="14" customWidth="1"/>
    <col min="9495" max="9495" width="1.5703125" style="14" customWidth="1"/>
    <col min="9496" max="9496" width="16.5703125" style="14" bestFit="1" customWidth="1"/>
    <col min="9497" max="9497" width="1.5703125" style="14" customWidth="1"/>
    <col min="9498" max="9498" width="9.28515625" style="14" customWidth="1"/>
    <col min="9499" max="9499" width="0.85546875" style="14" customWidth="1"/>
    <col min="9500" max="9500" width="16.5703125" style="14" bestFit="1" customWidth="1"/>
    <col min="9501" max="9509" width="11.7109375" style="14" customWidth="1"/>
    <col min="9510" max="9728" width="17.28515625" style="14"/>
    <col min="9729" max="9729" width="4" style="14" customWidth="1"/>
    <col min="9730" max="9730" width="32.5703125" style="14" customWidth="1"/>
    <col min="9731" max="9731" width="9.42578125" style="14" bestFit="1" customWidth="1"/>
    <col min="9732" max="9732" width="20.85546875" style="14" customWidth="1"/>
    <col min="9733" max="9733" width="18" style="14" customWidth="1"/>
    <col min="9734" max="9734" width="2" style="14" customWidth="1"/>
    <col min="9735" max="9735" width="16.5703125" style="14" bestFit="1" customWidth="1"/>
    <col min="9736" max="9736" width="13.85546875" style="14" bestFit="1" customWidth="1"/>
    <col min="9737" max="9737" width="18.7109375" style="14" bestFit="1" customWidth="1"/>
    <col min="9738" max="9738" width="14.140625" style="14" bestFit="1" customWidth="1"/>
    <col min="9739" max="9739" width="12" style="14" bestFit="1" customWidth="1"/>
    <col min="9740" max="9740" width="16.5703125" style="14" bestFit="1" customWidth="1"/>
    <col min="9741" max="9741" width="14.140625" style="14" bestFit="1" customWidth="1"/>
    <col min="9742" max="9742" width="16.5703125" style="14" bestFit="1" customWidth="1"/>
    <col min="9743" max="9743" width="1.85546875" style="14" customWidth="1"/>
    <col min="9744" max="9746" width="14.140625" style="14" bestFit="1" customWidth="1"/>
    <col min="9747" max="9747" width="9.5703125" style="14" customWidth="1"/>
    <col min="9748" max="9748" width="14.140625" style="14" bestFit="1" customWidth="1"/>
    <col min="9749" max="9749" width="9.5703125" style="14" bestFit="1" customWidth="1"/>
    <col min="9750" max="9750" width="11.42578125" style="14" customWidth="1"/>
    <col min="9751" max="9751" width="1.5703125" style="14" customWidth="1"/>
    <col min="9752" max="9752" width="16.5703125" style="14" bestFit="1" customWidth="1"/>
    <col min="9753" max="9753" width="1.5703125" style="14" customWidth="1"/>
    <col min="9754" max="9754" width="9.28515625" style="14" customWidth="1"/>
    <col min="9755" max="9755" width="0.85546875" style="14" customWidth="1"/>
    <col min="9756" max="9756" width="16.5703125" style="14" bestFit="1" customWidth="1"/>
    <col min="9757" max="9765" width="11.7109375" style="14" customWidth="1"/>
    <col min="9766" max="9984" width="17.28515625" style="14"/>
    <col min="9985" max="9985" width="4" style="14" customWidth="1"/>
    <col min="9986" max="9986" width="32.5703125" style="14" customWidth="1"/>
    <col min="9987" max="9987" width="9.42578125" style="14" bestFit="1" customWidth="1"/>
    <col min="9988" max="9988" width="20.85546875" style="14" customWidth="1"/>
    <col min="9989" max="9989" width="18" style="14" customWidth="1"/>
    <col min="9990" max="9990" width="2" style="14" customWidth="1"/>
    <col min="9991" max="9991" width="16.5703125" style="14" bestFit="1" customWidth="1"/>
    <col min="9992" max="9992" width="13.85546875" style="14" bestFit="1" customWidth="1"/>
    <col min="9993" max="9993" width="18.7109375" style="14" bestFit="1" customWidth="1"/>
    <col min="9994" max="9994" width="14.140625" style="14" bestFit="1" customWidth="1"/>
    <col min="9995" max="9995" width="12" style="14" bestFit="1" customWidth="1"/>
    <col min="9996" max="9996" width="16.5703125" style="14" bestFit="1" customWidth="1"/>
    <col min="9997" max="9997" width="14.140625" style="14" bestFit="1" customWidth="1"/>
    <col min="9998" max="9998" width="16.5703125" style="14" bestFit="1" customWidth="1"/>
    <col min="9999" max="9999" width="1.85546875" style="14" customWidth="1"/>
    <col min="10000" max="10002" width="14.140625" style="14" bestFit="1" customWidth="1"/>
    <col min="10003" max="10003" width="9.5703125" style="14" customWidth="1"/>
    <col min="10004" max="10004" width="14.140625" style="14" bestFit="1" customWidth="1"/>
    <col min="10005" max="10005" width="9.5703125" style="14" bestFit="1" customWidth="1"/>
    <col min="10006" max="10006" width="11.42578125" style="14" customWidth="1"/>
    <col min="10007" max="10007" width="1.5703125" style="14" customWidth="1"/>
    <col min="10008" max="10008" width="16.5703125" style="14" bestFit="1" customWidth="1"/>
    <col min="10009" max="10009" width="1.5703125" style="14" customWidth="1"/>
    <col min="10010" max="10010" width="9.28515625" style="14" customWidth="1"/>
    <col min="10011" max="10011" width="0.85546875" style="14" customWidth="1"/>
    <col min="10012" max="10012" width="16.5703125" style="14" bestFit="1" customWidth="1"/>
    <col min="10013" max="10021" width="11.7109375" style="14" customWidth="1"/>
    <col min="10022" max="10240" width="17.28515625" style="14"/>
    <col min="10241" max="10241" width="4" style="14" customWidth="1"/>
    <col min="10242" max="10242" width="32.5703125" style="14" customWidth="1"/>
    <col min="10243" max="10243" width="9.42578125" style="14" bestFit="1" customWidth="1"/>
    <col min="10244" max="10244" width="20.85546875" style="14" customWidth="1"/>
    <col min="10245" max="10245" width="18" style="14" customWidth="1"/>
    <col min="10246" max="10246" width="2" style="14" customWidth="1"/>
    <col min="10247" max="10247" width="16.5703125" style="14" bestFit="1" customWidth="1"/>
    <col min="10248" max="10248" width="13.85546875" style="14" bestFit="1" customWidth="1"/>
    <col min="10249" max="10249" width="18.7109375" style="14" bestFit="1" customWidth="1"/>
    <col min="10250" max="10250" width="14.140625" style="14" bestFit="1" customWidth="1"/>
    <col min="10251" max="10251" width="12" style="14" bestFit="1" customWidth="1"/>
    <col min="10252" max="10252" width="16.5703125" style="14" bestFit="1" customWidth="1"/>
    <col min="10253" max="10253" width="14.140625" style="14" bestFit="1" customWidth="1"/>
    <col min="10254" max="10254" width="16.5703125" style="14" bestFit="1" customWidth="1"/>
    <col min="10255" max="10255" width="1.85546875" style="14" customWidth="1"/>
    <col min="10256" max="10258" width="14.140625" style="14" bestFit="1" customWidth="1"/>
    <col min="10259" max="10259" width="9.5703125" style="14" customWidth="1"/>
    <col min="10260" max="10260" width="14.140625" style="14" bestFit="1" customWidth="1"/>
    <col min="10261" max="10261" width="9.5703125" style="14" bestFit="1" customWidth="1"/>
    <col min="10262" max="10262" width="11.42578125" style="14" customWidth="1"/>
    <col min="10263" max="10263" width="1.5703125" style="14" customWidth="1"/>
    <col min="10264" max="10264" width="16.5703125" style="14" bestFit="1" customWidth="1"/>
    <col min="10265" max="10265" width="1.5703125" style="14" customWidth="1"/>
    <col min="10266" max="10266" width="9.28515625" style="14" customWidth="1"/>
    <col min="10267" max="10267" width="0.85546875" style="14" customWidth="1"/>
    <col min="10268" max="10268" width="16.5703125" style="14" bestFit="1" customWidth="1"/>
    <col min="10269" max="10277" width="11.7109375" style="14" customWidth="1"/>
    <col min="10278" max="10496" width="17.28515625" style="14"/>
    <col min="10497" max="10497" width="4" style="14" customWidth="1"/>
    <col min="10498" max="10498" width="32.5703125" style="14" customWidth="1"/>
    <col min="10499" max="10499" width="9.42578125" style="14" bestFit="1" customWidth="1"/>
    <col min="10500" max="10500" width="20.85546875" style="14" customWidth="1"/>
    <col min="10501" max="10501" width="18" style="14" customWidth="1"/>
    <col min="10502" max="10502" width="2" style="14" customWidth="1"/>
    <col min="10503" max="10503" width="16.5703125" style="14" bestFit="1" customWidth="1"/>
    <col min="10504" max="10504" width="13.85546875" style="14" bestFit="1" customWidth="1"/>
    <col min="10505" max="10505" width="18.7109375" style="14" bestFit="1" customWidth="1"/>
    <col min="10506" max="10506" width="14.140625" style="14" bestFit="1" customWidth="1"/>
    <col min="10507" max="10507" width="12" style="14" bestFit="1" customWidth="1"/>
    <col min="10508" max="10508" width="16.5703125" style="14" bestFit="1" customWidth="1"/>
    <col min="10509" max="10509" width="14.140625" style="14" bestFit="1" customWidth="1"/>
    <col min="10510" max="10510" width="16.5703125" style="14" bestFit="1" customWidth="1"/>
    <col min="10511" max="10511" width="1.85546875" style="14" customWidth="1"/>
    <col min="10512" max="10514" width="14.140625" style="14" bestFit="1" customWidth="1"/>
    <col min="10515" max="10515" width="9.5703125" style="14" customWidth="1"/>
    <col min="10516" max="10516" width="14.140625" style="14" bestFit="1" customWidth="1"/>
    <col min="10517" max="10517" width="9.5703125" style="14" bestFit="1" customWidth="1"/>
    <col min="10518" max="10518" width="11.42578125" style="14" customWidth="1"/>
    <col min="10519" max="10519" width="1.5703125" style="14" customWidth="1"/>
    <col min="10520" max="10520" width="16.5703125" style="14" bestFit="1" customWidth="1"/>
    <col min="10521" max="10521" width="1.5703125" style="14" customWidth="1"/>
    <col min="10522" max="10522" width="9.28515625" style="14" customWidth="1"/>
    <col min="10523" max="10523" width="0.85546875" style="14" customWidth="1"/>
    <col min="10524" max="10524" width="16.5703125" style="14" bestFit="1" customWidth="1"/>
    <col min="10525" max="10533" width="11.7109375" style="14" customWidth="1"/>
    <col min="10534" max="10752" width="17.28515625" style="14"/>
    <col min="10753" max="10753" width="4" style="14" customWidth="1"/>
    <col min="10754" max="10754" width="32.5703125" style="14" customWidth="1"/>
    <col min="10755" max="10755" width="9.42578125" style="14" bestFit="1" customWidth="1"/>
    <col min="10756" max="10756" width="20.85546875" style="14" customWidth="1"/>
    <col min="10757" max="10757" width="18" style="14" customWidth="1"/>
    <col min="10758" max="10758" width="2" style="14" customWidth="1"/>
    <col min="10759" max="10759" width="16.5703125" style="14" bestFit="1" customWidth="1"/>
    <col min="10760" max="10760" width="13.85546875" style="14" bestFit="1" customWidth="1"/>
    <col min="10761" max="10761" width="18.7109375" style="14" bestFit="1" customWidth="1"/>
    <col min="10762" max="10762" width="14.140625" style="14" bestFit="1" customWidth="1"/>
    <col min="10763" max="10763" width="12" style="14" bestFit="1" customWidth="1"/>
    <col min="10764" max="10764" width="16.5703125" style="14" bestFit="1" customWidth="1"/>
    <col min="10765" max="10765" width="14.140625" style="14" bestFit="1" customWidth="1"/>
    <col min="10766" max="10766" width="16.5703125" style="14" bestFit="1" customWidth="1"/>
    <col min="10767" max="10767" width="1.85546875" style="14" customWidth="1"/>
    <col min="10768" max="10770" width="14.140625" style="14" bestFit="1" customWidth="1"/>
    <col min="10771" max="10771" width="9.5703125" style="14" customWidth="1"/>
    <col min="10772" max="10772" width="14.140625" style="14" bestFit="1" customWidth="1"/>
    <col min="10773" max="10773" width="9.5703125" style="14" bestFit="1" customWidth="1"/>
    <col min="10774" max="10774" width="11.42578125" style="14" customWidth="1"/>
    <col min="10775" max="10775" width="1.5703125" style="14" customWidth="1"/>
    <col min="10776" max="10776" width="16.5703125" style="14" bestFit="1" customWidth="1"/>
    <col min="10777" max="10777" width="1.5703125" style="14" customWidth="1"/>
    <col min="10778" max="10778" width="9.28515625" style="14" customWidth="1"/>
    <col min="10779" max="10779" width="0.85546875" style="14" customWidth="1"/>
    <col min="10780" max="10780" width="16.5703125" style="14" bestFit="1" customWidth="1"/>
    <col min="10781" max="10789" width="11.7109375" style="14" customWidth="1"/>
    <col min="10790" max="11008" width="17.28515625" style="14"/>
    <col min="11009" max="11009" width="4" style="14" customWidth="1"/>
    <col min="11010" max="11010" width="32.5703125" style="14" customWidth="1"/>
    <col min="11011" max="11011" width="9.42578125" style="14" bestFit="1" customWidth="1"/>
    <col min="11012" max="11012" width="20.85546875" style="14" customWidth="1"/>
    <col min="11013" max="11013" width="18" style="14" customWidth="1"/>
    <col min="11014" max="11014" width="2" style="14" customWidth="1"/>
    <col min="11015" max="11015" width="16.5703125" style="14" bestFit="1" customWidth="1"/>
    <col min="11016" max="11016" width="13.85546875" style="14" bestFit="1" customWidth="1"/>
    <col min="11017" max="11017" width="18.7109375" style="14" bestFit="1" customWidth="1"/>
    <col min="11018" max="11018" width="14.140625" style="14" bestFit="1" customWidth="1"/>
    <col min="11019" max="11019" width="12" style="14" bestFit="1" customWidth="1"/>
    <col min="11020" max="11020" width="16.5703125" style="14" bestFit="1" customWidth="1"/>
    <col min="11021" max="11021" width="14.140625" style="14" bestFit="1" customWidth="1"/>
    <col min="11022" max="11022" width="16.5703125" style="14" bestFit="1" customWidth="1"/>
    <col min="11023" max="11023" width="1.85546875" style="14" customWidth="1"/>
    <col min="11024" max="11026" width="14.140625" style="14" bestFit="1" customWidth="1"/>
    <col min="11027" max="11027" width="9.5703125" style="14" customWidth="1"/>
    <col min="11028" max="11028" width="14.140625" style="14" bestFit="1" customWidth="1"/>
    <col min="11029" max="11029" width="9.5703125" style="14" bestFit="1" customWidth="1"/>
    <col min="11030" max="11030" width="11.42578125" style="14" customWidth="1"/>
    <col min="11031" max="11031" width="1.5703125" style="14" customWidth="1"/>
    <col min="11032" max="11032" width="16.5703125" style="14" bestFit="1" customWidth="1"/>
    <col min="11033" max="11033" width="1.5703125" style="14" customWidth="1"/>
    <col min="11034" max="11034" width="9.28515625" style="14" customWidth="1"/>
    <col min="11035" max="11035" width="0.85546875" style="14" customWidth="1"/>
    <col min="11036" max="11036" width="16.5703125" style="14" bestFit="1" customWidth="1"/>
    <col min="11037" max="11045" width="11.7109375" style="14" customWidth="1"/>
    <col min="11046" max="11264" width="17.28515625" style="14"/>
    <col min="11265" max="11265" width="4" style="14" customWidth="1"/>
    <col min="11266" max="11266" width="32.5703125" style="14" customWidth="1"/>
    <col min="11267" max="11267" width="9.42578125" style="14" bestFit="1" customWidth="1"/>
    <col min="11268" max="11268" width="20.85546875" style="14" customWidth="1"/>
    <col min="11269" max="11269" width="18" style="14" customWidth="1"/>
    <col min="11270" max="11270" width="2" style="14" customWidth="1"/>
    <col min="11271" max="11271" width="16.5703125" style="14" bestFit="1" customWidth="1"/>
    <col min="11272" max="11272" width="13.85546875" style="14" bestFit="1" customWidth="1"/>
    <col min="11273" max="11273" width="18.7109375" style="14" bestFit="1" customWidth="1"/>
    <col min="11274" max="11274" width="14.140625" style="14" bestFit="1" customWidth="1"/>
    <col min="11275" max="11275" width="12" style="14" bestFit="1" customWidth="1"/>
    <col min="11276" max="11276" width="16.5703125" style="14" bestFit="1" customWidth="1"/>
    <col min="11277" max="11277" width="14.140625" style="14" bestFit="1" customWidth="1"/>
    <col min="11278" max="11278" width="16.5703125" style="14" bestFit="1" customWidth="1"/>
    <col min="11279" max="11279" width="1.85546875" style="14" customWidth="1"/>
    <col min="11280" max="11282" width="14.140625" style="14" bestFit="1" customWidth="1"/>
    <col min="11283" max="11283" width="9.5703125" style="14" customWidth="1"/>
    <col min="11284" max="11284" width="14.140625" style="14" bestFit="1" customWidth="1"/>
    <col min="11285" max="11285" width="9.5703125" style="14" bestFit="1" customWidth="1"/>
    <col min="11286" max="11286" width="11.42578125" style="14" customWidth="1"/>
    <col min="11287" max="11287" width="1.5703125" style="14" customWidth="1"/>
    <col min="11288" max="11288" width="16.5703125" style="14" bestFit="1" customWidth="1"/>
    <col min="11289" max="11289" width="1.5703125" style="14" customWidth="1"/>
    <col min="11290" max="11290" width="9.28515625" style="14" customWidth="1"/>
    <col min="11291" max="11291" width="0.85546875" style="14" customWidth="1"/>
    <col min="11292" max="11292" width="16.5703125" style="14" bestFit="1" customWidth="1"/>
    <col min="11293" max="11301" width="11.7109375" style="14" customWidth="1"/>
    <col min="11302" max="11520" width="17.28515625" style="14"/>
    <col min="11521" max="11521" width="4" style="14" customWidth="1"/>
    <col min="11522" max="11522" width="32.5703125" style="14" customWidth="1"/>
    <col min="11523" max="11523" width="9.42578125" style="14" bestFit="1" customWidth="1"/>
    <col min="11524" max="11524" width="20.85546875" style="14" customWidth="1"/>
    <col min="11525" max="11525" width="18" style="14" customWidth="1"/>
    <col min="11526" max="11526" width="2" style="14" customWidth="1"/>
    <col min="11527" max="11527" width="16.5703125" style="14" bestFit="1" customWidth="1"/>
    <col min="11528" max="11528" width="13.85546875" style="14" bestFit="1" customWidth="1"/>
    <col min="11529" max="11529" width="18.7109375" style="14" bestFit="1" customWidth="1"/>
    <col min="11530" max="11530" width="14.140625" style="14" bestFit="1" customWidth="1"/>
    <col min="11531" max="11531" width="12" style="14" bestFit="1" customWidth="1"/>
    <col min="11532" max="11532" width="16.5703125" style="14" bestFit="1" customWidth="1"/>
    <col min="11533" max="11533" width="14.140625" style="14" bestFit="1" customWidth="1"/>
    <col min="11534" max="11534" width="16.5703125" style="14" bestFit="1" customWidth="1"/>
    <col min="11535" max="11535" width="1.85546875" style="14" customWidth="1"/>
    <col min="11536" max="11538" width="14.140625" style="14" bestFit="1" customWidth="1"/>
    <col min="11539" max="11539" width="9.5703125" style="14" customWidth="1"/>
    <col min="11540" max="11540" width="14.140625" style="14" bestFit="1" customWidth="1"/>
    <col min="11541" max="11541" width="9.5703125" style="14" bestFit="1" customWidth="1"/>
    <col min="11542" max="11542" width="11.42578125" style="14" customWidth="1"/>
    <col min="11543" max="11543" width="1.5703125" style="14" customWidth="1"/>
    <col min="11544" max="11544" width="16.5703125" style="14" bestFit="1" customWidth="1"/>
    <col min="11545" max="11545" width="1.5703125" style="14" customWidth="1"/>
    <col min="11546" max="11546" width="9.28515625" style="14" customWidth="1"/>
    <col min="11547" max="11547" width="0.85546875" style="14" customWidth="1"/>
    <col min="11548" max="11548" width="16.5703125" style="14" bestFit="1" customWidth="1"/>
    <col min="11549" max="11557" width="11.7109375" style="14" customWidth="1"/>
    <col min="11558" max="11776" width="17.28515625" style="14"/>
    <col min="11777" max="11777" width="4" style="14" customWidth="1"/>
    <col min="11778" max="11778" width="32.5703125" style="14" customWidth="1"/>
    <col min="11779" max="11779" width="9.42578125" style="14" bestFit="1" customWidth="1"/>
    <col min="11780" max="11780" width="20.85546875" style="14" customWidth="1"/>
    <col min="11781" max="11781" width="18" style="14" customWidth="1"/>
    <col min="11782" max="11782" width="2" style="14" customWidth="1"/>
    <col min="11783" max="11783" width="16.5703125" style="14" bestFit="1" customWidth="1"/>
    <col min="11784" max="11784" width="13.85546875" style="14" bestFit="1" customWidth="1"/>
    <col min="11785" max="11785" width="18.7109375" style="14" bestFit="1" customWidth="1"/>
    <col min="11786" max="11786" width="14.140625" style="14" bestFit="1" customWidth="1"/>
    <col min="11787" max="11787" width="12" style="14" bestFit="1" customWidth="1"/>
    <col min="11788" max="11788" width="16.5703125" style="14" bestFit="1" customWidth="1"/>
    <col min="11789" max="11789" width="14.140625" style="14" bestFit="1" customWidth="1"/>
    <col min="11790" max="11790" width="16.5703125" style="14" bestFit="1" customWidth="1"/>
    <col min="11791" max="11791" width="1.85546875" style="14" customWidth="1"/>
    <col min="11792" max="11794" width="14.140625" style="14" bestFit="1" customWidth="1"/>
    <col min="11795" max="11795" width="9.5703125" style="14" customWidth="1"/>
    <col min="11796" max="11796" width="14.140625" style="14" bestFit="1" customWidth="1"/>
    <col min="11797" max="11797" width="9.5703125" style="14" bestFit="1" customWidth="1"/>
    <col min="11798" max="11798" width="11.42578125" style="14" customWidth="1"/>
    <col min="11799" max="11799" width="1.5703125" style="14" customWidth="1"/>
    <col min="11800" max="11800" width="16.5703125" style="14" bestFit="1" customWidth="1"/>
    <col min="11801" max="11801" width="1.5703125" style="14" customWidth="1"/>
    <col min="11802" max="11802" width="9.28515625" style="14" customWidth="1"/>
    <col min="11803" max="11803" width="0.85546875" style="14" customWidth="1"/>
    <col min="11804" max="11804" width="16.5703125" style="14" bestFit="1" customWidth="1"/>
    <col min="11805" max="11813" width="11.7109375" style="14" customWidth="1"/>
    <col min="11814" max="12032" width="17.28515625" style="14"/>
    <col min="12033" max="12033" width="4" style="14" customWidth="1"/>
    <col min="12034" max="12034" width="32.5703125" style="14" customWidth="1"/>
    <col min="12035" max="12035" width="9.42578125" style="14" bestFit="1" customWidth="1"/>
    <col min="12036" max="12036" width="20.85546875" style="14" customWidth="1"/>
    <col min="12037" max="12037" width="18" style="14" customWidth="1"/>
    <col min="12038" max="12038" width="2" style="14" customWidth="1"/>
    <col min="12039" max="12039" width="16.5703125" style="14" bestFit="1" customWidth="1"/>
    <col min="12040" max="12040" width="13.85546875" style="14" bestFit="1" customWidth="1"/>
    <col min="12041" max="12041" width="18.7109375" style="14" bestFit="1" customWidth="1"/>
    <col min="12042" max="12042" width="14.140625" style="14" bestFit="1" customWidth="1"/>
    <col min="12043" max="12043" width="12" style="14" bestFit="1" customWidth="1"/>
    <col min="12044" max="12044" width="16.5703125" style="14" bestFit="1" customWidth="1"/>
    <col min="12045" max="12045" width="14.140625" style="14" bestFit="1" customWidth="1"/>
    <col min="12046" max="12046" width="16.5703125" style="14" bestFit="1" customWidth="1"/>
    <col min="12047" max="12047" width="1.85546875" style="14" customWidth="1"/>
    <col min="12048" max="12050" width="14.140625" style="14" bestFit="1" customWidth="1"/>
    <col min="12051" max="12051" width="9.5703125" style="14" customWidth="1"/>
    <col min="12052" max="12052" width="14.140625" style="14" bestFit="1" customWidth="1"/>
    <col min="12053" max="12053" width="9.5703125" style="14" bestFit="1" customWidth="1"/>
    <col min="12054" max="12054" width="11.42578125" style="14" customWidth="1"/>
    <col min="12055" max="12055" width="1.5703125" style="14" customWidth="1"/>
    <col min="12056" max="12056" width="16.5703125" style="14" bestFit="1" customWidth="1"/>
    <col min="12057" max="12057" width="1.5703125" style="14" customWidth="1"/>
    <col min="12058" max="12058" width="9.28515625" style="14" customWidth="1"/>
    <col min="12059" max="12059" width="0.85546875" style="14" customWidth="1"/>
    <col min="12060" max="12060" width="16.5703125" style="14" bestFit="1" customWidth="1"/>
    <col min="12061" max="12069" width="11.7109375" style="14" customWidth="1"/>
    <col min="12070" max="12288" width="17.28515625" style="14"/>
    <col min="12289" max="12289" width="4" style="14" customWidth="1"/>
    <col min="12290" max="12290" width="32.5703125" style="14" customWidth="1"/>
    <col min="12291" max="12291" width="9.42578125" style="14" bestFit="1" customWidth="1"/>
    <col min="12292" max="12292" width="20.85546875" style="14" customWidth="1"/>
    <col min="12293" max="12293" width="18" style="14" customWidth="1"/>
    <col min="12294" max="12294" width="2" style="14" customWidth="1"/>
    <col min="12295" max="12295" width="16.5703125" style="14" bestFit="1" customWidth="1"/>
    <col min="12296" max="12296" width="13.85546875" style="14" bestFit="1" customWidth="1"/>
    <col min="12297" max="12297" width="18.7109375" style="14" bestFit="1" customWidth="1"/>
    <col min="12298" max="12298" width="14.140625" style="14" bestFit="1" customWidth="1"/>
    <col min="12299" max="12299" width="12" style="14" bestFit="1" customWidth="1"/>
    <col min="12300" max="12300" width="16.5703125" style="14" bestFit="1" customWidth="1"/>
    <col min="12301" max="12301" width="14.140625" style="14" bestFit="1" customWidth="1"/>
    <col min="12302" max="12302" width="16.5703125" style="14" bestFit="1" customWidth="1"/>
    <col min="12303" max="12303" width="1.85546875" style="14" customWidth="1"/>
    <col min="12304" max="12306" width="14.140625" style="14" bestFit="1" customWidth="1"/>
    <col min="12307" max="12307" width="9.5703125" style="14" customWidth="1"/>
    <col min="12308" max="12308" width="14.140625" style="14" bestFit="1" customWidth="1"/>
    <col min="12309" max="12309" width="9.5703125" style="14" bestFit="1" customWidth="1"/>
    <col min="12310" max="12310" width="11.42578125" style="14" customWidth="1"/>
    <col min="12311" max="12311" width="1.5703125" style="14" customWidth="1"/>
    <col min="12312" max="12312" width="16.5703125" style="14" bestFit="1" customWidth="1"/>
    <col min="12313" max="12313" width="1.5703125" style="14" customWidth="1"/>
    <col min="12314" max="12314" width="9.28515625" style="14" customWidth="1"/>
    <col min="12315" max="12315" width="0.85546875" style="14" customWidth="1"/>
    <col min="12316" max="12316" width="16.5703125" style="14" bestFit="1" customWidth="1"/>
    <col min="12317" max="12325" width="11.7109375" style="14" customWidth="1"/>
    <col min="12326" max="12544" width="17.28515625" style="14"/>
    <col min="12545" max="12545" width="4" style="14" customWidth="1"/>
    <col min="12546" max="12546" width="32.5703125" style="14" customWidth="1"/>
    <col min="12547" max="12547" width="9.42578125" style="14" bestFit="1" customWidth="1"/>
    <col min="12548" max="12548" width="20.85546875" style="14" customWidth="1"/>
    <col min="12549" max="12549" width="18" style="14" customWidth="1"/>
    <col min="12550" max="12550" width="2" style="14" customWidth="1"/>
    <col min="12551" max="12551" width="16.5703125" style="14" bestFit="1" customWidth="1"/>
    <col min="12552" max="12552" width="13.85546875" style="14" bestFit="1" customWidth="1"/>
    <col min="12553" max="12553" width="18.7109375" style="14" bestFit="1" customWidth="1"/>
    <col min="12554" max="12554" width="14.140625" style="14" bestFit="1" customWidth="1"/>
    <col min="12555" max="12555" width="12" style="14" bestFit="1" customWidth="1"/>
    <col min="12556" max="12556" width="16.5703125" style="14" bestFit="1" customWidth="1"/>
    <col min="12557" max="12557" width="14.140625" style="14" bestFit="1" customWidth="1"/>
    <col min="12558" max="12558" width="16.5703125" style="14" bestFit="1" customWidth="1"/>
    <col min="12559" max="12559" width="1.85546875" style="14" customWidth="1"/>
    <col min="12560" max="12562" width="14.140625" style="14" bestFit="1" customWidth="1"/>
    <col min="12563" max="12563" width="9.5703125" style="14" customWidth="1"/>
    <col min="12564" max="12564" width="14.140625" style="14" bestFit="1" customWidth="1"/>
    <col min="12565" max="12565" width="9.5703125" style="14" bestFit="1" customWidth="1"/>
    <col min="12566" max="12566" width="11.42578125" style="14" customWidth="1"/>
    <col min="12567" max="12567" width="1.5703125" style="14" customWidth="1"/>
    <col min="12568" max="12568" width="16.5703125" style="14" bestFit="1" customWidth="1"/>
    <col min="12569" max="12569" width="1.5703125" style="14" customWidth="1"/>
    <col min="12570" max="12570" width="9.28515625" style="14" customWidth="1"/>
    <col min="12571" max="12571" width="0.85546875" style="14" customWidth="1"/>
    <col min="12572" max="12572" width="16.5703125" style="14" bestFit="1" customWidth="1"/>
    <col min="12573" max="12581" width="11.7109375" style="14" customWidth="1"/>
    <col min="12582" max="12800" width="17.28515625" style="14"/>
    <col min="12801" max="12801" width="4" style="14" customWidth="1"/>
    <col min="12802" max="12802" width="32.5703125" style="14" customWidth="1"/>
    <col min="12803" max="12803" width="9.42578125" style="14" bestFit="1" customWidth="1"/>
    <col min="12804" max="12804" width="20.85546875" style="14" customWidth="1"/>
    <col min="12805" max="12805" width="18" style="14" customWidth="1"/>
    <col min="12806" max="12806" width="2" style="14" customWidth="1"/>
    <col min="12807" max="12807" width="16.5703125" style="14" bestFit="1" customWidth="1"/>
    <col min="12808" max="12808" width="13.85546875" style="14" bestFit="1" customWidth="1"/>
    <col min="12809" max="12809" width="18.7109375" style="14" bestFit="1" customWidth="1"/>
    <col min="12810" max="12810" width="14.140625" style="14" bestFit="1" customWidth="1"/>
    <col min="12811" max="12811" width="12" style="14" bestFit="1" customWidth="1"/>
    <col min="12812" max="12812" width="16.5703125" style="14" bestFit="1" customWidth="1"/>
    <col min="12813" max="12813" width="14.140625" style="14" bestFit="1" customWidth="1"/>
    <col min="12814" max="12814" width="16.5703125" style="14" bestFit="1" customWidth="1"/>
    <col min="12815" max="12815" width="1.85546875" style="14" customWidth="1"/>
    <col min="12816" max="12818" width="14.140625" style="14" bestFit="1" customWidth="1"/>
    <col min="12819" max="12819" width="9.5703125" style="14" customWidth="1"/>
    <col min="12820" max="12820" width="14.140625" style="14" bestFit="1" customWidth="1"/>
    <col min="12821" max="12821" width="9.5703125" style="14" bestFit="1" customWidth="1"/>
    <col min="12822" max="12822" width="11.42578125" style="14" customWidth="1"/>
    <col min="12823" max="12823" width="1.5703125" style="14" customWidth="1"/>
    <col min="12824" max="12824" width="16.5703125" style="14" bestFit="1" customWidth="1"/>
    <col min="12825" max="12825" width="1.5703125" style="14" customWidth="1"/>
    <col min="12826" max="12826" width="9.28515625" style="14" customWidth="1"/>
    <col min="12827" max="12827" width="0.85546875" style="14" customWidth="1"/>
    <col min="12828" max="12828" width="16.5703125" style="14" bestFit="1" customWidth="1"/>
    <col min="12829" max="12837" width="11.7109375" style="14" customWidth="1"/>
    <col min="12838" max="13056" width="17.28515625" style="14"/>
    <col min="13057" max="13057" width="4" style="14" customWidth="1"/>
    <col min="13058" max="13058" width="32.5703125" style="14" customWidth="1"/>
    <col min="13059" max="13059" width="9.42578125" style="14" bestFit="1" customWidth="1"/>
    <col min="13060" max="13060" width="20.85546875" style="14" customWidth="1"/>
    <col min="13061" max="13061" width="18" style="14" customWidth="1"/>
    <col min="13062" max="13062" width="2" style="14" customWidth="1"/>
    <col min="13063" max="13063" width="16.5703125" style="14" bestFit="1" customWidth="1"/>
    <col min="13064" max="13064" width="13.85546875" style="14" bestFit="1" customWidth="1"/>
    <col min="13065" max="13065" width="18.7109375" style="14" bestFit="1" customWidth="1"/>
    <col min="13066" max="13066" width="14.140625" style="14" bestFit="1" customWidth="1"/>
    <col min="13067" max="13067" width="12" style="14" bestFit="1" customWidth="1"/>
    <col min="13068" max="13068" width="16.5703125" style="14" bestFit="1" customWidth="1"/>
    <col min="13069" max="13069" width="14.140625" style="14" bestFit="1" customWidth="1"/>
    <col min="13070" max="13070" width="16.5703125" style="14" bestFit="1" customWidth="1"/>
    <col min="13071" max="13071" width="1.85546875" style="14" customWidth="1"/>
    <col min="13072" max="13074" width="14.140625" style="14" bestFit="1" customWidth="1"/>
    <col min="13075" max="13075" width="9.5703125" style="14" customWidth="1"/>
    <col min="13076" max="13076" width="14.140625" style="14" bestFit="1" customWidth="1"/>
    <col min="13077" max="13077" width="9.5703125" style="14" bestFit="1" customWidth="1"/>
    <col min="13078" max="13078" width="11.42578125" style="14" customWidth="1"/>
    <col min="13079" max="13079" width="1.5703125" style="14" customWidth="1"/>
    <col min="13080" max="13080" width="16.5703125" style="14" bestFit="1" customWidth="1"/>
    <col min="13081" max="13081" width="1.5703125" style="14" customWidth="1"/>
    <col min="13082" max="13082" width="9.28515625" style="14" customWidth="1"/>
    <col min="13083" max="13083" width="0.85546875" style="14" customWidth="1"/>
    <col min="13084" max="13084" width="16.5703125" style="14" bestFit="1" customWidth="1"/>
    <col min="13085" max="13093" width="11.7109375" style="14" customWidth="1"/>
    <col min="13094" max="13312" width="17.28515625" style="14"/>
    <col min="13313" max="13313" width="4" style="14" customWidth="1"/>
    <col min="13314" max="13314" width="32.5703125" style="14" customWidth="1"/>
    <col min="13315" max="13315" width="9.42578125" style="14" bestFit="1" customWidth="1"/>
    <col min="13316" max="13316" width="20.85546875" style="14" customWidth="1"/>
    <col min="13317" max="13317" width="18" style="14" customWidth="1"/>
    <col min="13318" max="13318" width="2" style="14" customWidth="1"/>
    <col min="13319" max="13319" width="16.5703125" style="14" bestFit="1" customWidth="1"/>
    <col min="13320" max="13320" width="13.85546875" style="14" bestFit="1" customWidth="1"/>
    <col min="13321" max="13321" width="18.7109375" style="14" bestFit="1" customWidth="1"/>
    <col min="13322" max="13322" width="14.140625" style="14" bestFit="1" customWidth="1"/>
    <col min="13323" max="13323" width="12" style="14" bestFit="1" customWidth="1"/>
    <col min="13324" max="13324" width="16.5703125" style="14" bestFit="1" customWidth="1"/>
    <col min="13325" max="13325" width="14.140625" style="14" bestFit="1" customWidth="1"/>
    <col min="13326" max="13326" width="16.5703125" style="14" bestFit="1" customWidth="1"/>
    <col min="13327" max="13327" width="1.85546875" style="14" customWidth="1"/>
    <col min="13328" max="13330" width="14.140625" style="14" bestFit="1" customWidth="1"/>
    <col min="13331" max="13331" width="9.5703125" style="14" customWidth="1"/>
    <col min="13332" max="13332" width="14.140625" style="14" bestFit="1" customWidth="1"/>
    <col min="13333" max="13333" width="9.5703125" style="14" bestFit="1" customWidth="1"/>
    <col min="13334" max="13334" width="11.42578125" style="14" customWidth="1"/>
    <col min="13335" max="13335" width="1.5703125" style="14" customWidth="1"/>
    <col min="13336" max="13336" width="16.5703125" style="14" bestFit="1" customWidth="1"/>
    <col min="13337" max="13337" width="1.5703125" style="14" customWidth="1"/>
    <col min="13338" max="13338" width="9.28515625" style="14" customWidth="1"/>
    <col min="13339" max="13339" width="0.85546875" style="14" customWidth="1"/>
    <col min="13340" max="13340" width="16.5703125" style="14" bestFit="1" customWidth="1"/>
    <col min="13341" max="13349" width="11.7109375" style="14" customWidth="1"/>
    <col min="13350" max="13568" width="17.28515625" style="14"/>
    <col min="13569" max="13569" width="4" style="14" customWidth="1"/>
    <col min="13570" max="13570" width="32.5703125" style="14" customWidth="1"/>
    <col min="13571" max="13571" width="9.42578125" style="14" bestFit="1" customWidth="1"/>
    <col min="13572" max="13572" width="20.85546875" style="14" customWidth="1"/>
    <col min="13573" max="13573" width="18" style="14" customWidth="1"/>
    <col min="13574" max="13574" width="2" style="14" customWidth="1"/>
    <col min="13575" max="13575" width="16.5703125" style="14" bestFit="1" customWidth="1"/>
    <col min="13576" max="13576" width="13.85546875" style="14" bestFit="1" customWidth="1"/>
    <col min="13577" max="13577" width="18.7109375" style="14" bestFit="1" customWidth="1"/>
    <col min="13578" max="13578" width="14.140625" style="14" bestFit="1" customWidth="1"/>
    <col min="13579" max="13579" width="12" style="14" bestFit="1" customWidth="1"/>
    <col min="13580" max="13580" width="16.5703125" style="14" bestFit="1" customWidth="1"/>
    <col min="13581" max="13581" width="14.140625" style="14" bestFit="1" customWidth="1"/>
    <col min="13582" max="13582" width="16.5703125" style="14" bestFit="1" customWidth="1"/>
    <col min="13583" max="13583" width="1.85546875" style="14" customWidth="1"/>
    <col min="13584" max="13586" width="14.140625" style="14" bestFit="1" customWidth="1"/>
    <col min="13587" max="13587" width="9.5703125" style="14" customWidth="1"/>
    <col min="13588" max="13588" width="14.140625" style="14" bestFit="1" customWidth="1"/>
    <col min="13589" max="13589" width="9.5703125" style="14" bestFit="1" customWidth="1"/>
    <col min="13590" max="13590" width="11.42578125" style="14" customWidth="1"/>
    <col min="13591" max="13591" width="1.5703125" style="14" customWidth="1"/>
    <col min="13592" max="13592" width="16.5703125" style="14" bestFit="1" customWidth="1"/>
    <col min="13593" max="13593" width="1.5703125" style="14" customWidth="1"/>
    <col min="13594" max="13594" width="9.28515625" style="14" customWidth="1"/>
    <col min="13595" max="13595" width="0.85546875" style="14" customWidth="1"/>
    <col min="13596" max="13596" width="16.5703125" style="14" bestFit="1" customWidth="1"/>
    <col min="13597" max="13605" width="11.7109375" style="14" customWidth="1"/>
    <col min="13606" max="13824" width="17.28515625" style="14"/>
    <col min="13825" max="13825" width="4" style="14" customWidth="1"/>
    <col min="13826" max="13826" width="32.5703125" style="14" customWidth="1"/>
    <col min="13827" max="13827" width="9.42578125" style="14" bestFit="1" customWidth="1"/>
    <col min="13828" max="13828" width="20.85546875" style="14" customWidth="1"/>
    <col min="13829" max="13829" width="18" style="14" customWidth="1"/>
    <col min="13830" max="13830" width="2" style="14" customWidth="1"/>
    <col min="13831" max="13831" width="16.5703125" style="14" bestFit="1" customWidth="1"/>
    <col min="13832" max="13832" width="13.85546875" style="14" bestFit="1" customWidth="1"/>
    <col min="13833" max="13833" width="18.7109375" style="14" bestFit="1" customWidth="1"/>
    <col min="13834" max="13834" width="14.140625" style="14" bestFit="1" customWidth="1"/>
    <col min="13835" max="13835" width="12" style="14" bestFit="1" customWidth="1"/>
    <col min="13836" max="13836" width="16.5703125" style="14" bestFit="1" customWidth="1"/>
    <col min="13837" max="13837" width="14.140625" style="14" bestFit="1" customWidth="1"/>
    <col min="13838" max="13838" width="16.5703125" style="14" bestFit="1" customWidth="1"/>
    <col min="13839" max="13839" width="1.85546875" style="14" customWidth="1"/>
    <col min="13840" max="13842" width="14.140625" style="14" bestFit="1" customWidth="1"/>
    <col min="13843" max="13843" width="9.5703125" style="14" customWidth="1"/>
    <col min="13844" max="13844" width="14.140625" style="14" bestFit="1" customWidth="1"/>
    <col min="13845" max="13845" width="9.5703125" style="14" bestFit="1" customWidth="1"/>
    <col min="13846" max="13846" width="11.42578125" style="14" customWidth="1"/>
    <col min="13847" max="13847" width="1.5703125" style="14" customWidth="1"/>
    <col min="13848" max="13848" width="16.5703125" style="14" bestFit="1" customWidth="1"/>
    <col min="13849" max="13849" width="1.5703125" style="14" customWidth="1"/>
    <col min="13850" max="13850" width="9.28515625" style="14" customWidth="1"/>
    <col min="13851" max="13851" width="0.85546875" style="14" customWidth="1"/>
    <col min="13852" max="13852" width="16.5703125" style="14" bestFit="1" customWidth="1"/>
    <col min="13853" max="13861" width="11.7109375" style="14" customWidth="1"/>
    <col min="13862" max="14080" width="17.28515625" style="14"/>
    <col min="14081" max="14081" width="4" style="14" customWidth="1"/>
    <col min="14082" max="14082" width="32.5703125" style="14" customWidth="1"/>
    <col min="14083" max="14083" width="9.42578125" style="14" bestFit="1" customWidth="1"/>
    <col min="14084" max="14084" width="20.85546875" style="14" customWidth="1"/>
    <col min="14085" max="14085" width="18" style="14" customWidth="1"/>
    <col min="14086" max="14086" width="2" style="14" customWidth="1"/>
    <col min="14087" max="14087" width="16.5703125" style="14" bestFit="1" customWidth="1"/>
    <col min="14088" max="14088" width="13.85546875" style="14" bestFit="1" customWidth="1"/>
    <col min="14089" max="14089" width="18.7109375" style="14" bestFit="1" customWidth="1"/>
    <col min="14090" max="14090" width="14.140625" style="14" bestFit="1" customWidth="1"/>
    <col min="14091" max="14091" width="12" style="14" bestFit="1" customWidth="1"/>
    <col min="14092" max="14092" width="16.5703125" style="14" bestFit="1" customWidth="1"/>
    <col min="14093" max="14093" width="14.140625" style="14" bestFit="1" customWidth="1"/>
    <col min="14094" max="14094" width="16.5703125" style="14" bestFit="1" customWidth="1"/>
    <col min="14095" max="14095" width="1.85546875" style="14" customWidth="1"/>
    <col min="14096" max="14098" width="14.140625" style="14" bestFit="1" customWidth="1"/>
    <col min="14099" max="14099" width="9.5703125" style="14" customWidth="1"/>
    <col min="14100" max="14100" width="14.140625" style="14" bestFit="1" customWidth="1"/>
    <col min="14101" max="14101" width="9.5703125" style="14" bestFit="1" customWidth="1"/>
    <col min="14102" max="14102" width="11.42578125" style="14" customWidth="1"/>
    <col min="14103" max="14103" width="1.5703125" style="14" customWidth="1"/>
    <col min="14104" max="14104" width="16.5703125" style="14" bestFit="1" customWidth="1"/>
    <col min="14105" max="14105" width="1.5703125" style="14" customWidth="1"/>
    <col min="14106" max="14106" width="9.28515625" style="14" customWidth="1"/>
    <col min="14107" max="14107" width="0.85546875" style="14" customWidth="1"/>
    <col min="14108" max="14108" width="16.5703125" style="14" bestFit="1" customWidth="1"/>
    <col min="14109" max="14117" width="11.7109375" style="14" customWidth="1"/>
    <col min="14118" max="14336" width="17.28515625" style="14"/>
    <col min="14337" max="14337" width="4" style="14" customWidth="1"/>
    <col min="14338" max="14338" width="32.5703125" style="14" customWidth="1"/>
    <col min="14339" max="14339" width="9.42578125" style="14" bestFit="1" customWidth="1"/>
    <col min="14340" max="14340" width="20.85546875" style="14" customWidth="1"/>
    <col min="14341" max="14341" width="18" style="14" customWidth="1"/>
    <col min="14342" max="14342" width="2" style="14" customWidth="1"/>
    <col min="14343" max="14343" width="16.5703125" style="14" bestFit="1" customWidth="1"/>
    <col min="14344" max="14344" width="13.85546875" style="14" bestFit="1" customWidth="1"/>
    <col min="14345" max="14345" width="18.7109375" style="14" bestFit="1" customWidth="1"/>
    <col min="14346" max="14346" width="14.140625" style="14" bestFit="1" customWidth="1"/>
    <col min="14347" max="14347" width="12" style="14" bestFit="1" customWidth="1"/>
    <col min="14348" max="14348" width="16.5703125" style="14" bestFit="1" customWidth="1"/>
    <col min="14349" max="14349" width="14.140625" style="14" bestFit="1" customWidth="1"/>
    <col min="14350" max="14350" width="16.5703125" style="14" bestFit="1" customWidth="1"/>
    <col min="14351" max="14351" width="1.85546875" style="14" customWidth="1"/>
    <col min="14352" max="14354" width="14.140625" style="14" bestFit="1" customWidth="1"/>
    <col min="14355" max="14355" width="9.5703125" style="14" customWidth="1"/>
    <col min="14356" max="14356" width="14.140625" style="14" bestFit="1" customWidth="1"/>
    <col min="14357" max="14357" width="9.5703125" style="14" bestFit="1" customWidth="1"/>
    <col min="14358" max="14358" width="11.42578125" style="14" customWidth="1"/>
    <col min="14359" max="14359" width="1.5703125" style="14" customWidth="1"/>
    <col min="14360" max="14360" width="16.5703125" style="14" bestFit="1" customWidth="1"/>
    <col min="14361" max="14361" width="1.5703125" style="14" customWidth="1"/>
    <col min="14362" max="14362" width="9.28515625" style="14" customWidth="1"/>
    <col min="14363" max="14363" width="0.85546875" style="14" customWidth="1"/>
    <col min="14364" max="14364" width="16.5703125" style="14" bestFit="1" customWidth="1"/>
    <col min="14365" max="14373" width="11.7109375" style="14" customWidth="1"/>
    <col min="14374" max="14592" width="17.28515625" style="14"/>
    <col min="14593" max="14593" width="4" style="14" customWidth="1"/>
    <col min="14594" max="14594" width="32.5703125" style="14" customWidth="1"/>
    <col min="14595" max="14595" width="9.42578125" style="14" bestFit="1" customWidth="1"/>
    <col min="14596" max="14596" width="20.85546875" style="14" customWidth="1"/>
    <col min="14597" max="14597" width="18" style="14" customWidth="1"/>
    <col min="14598" max="14598" width="2" style="14" customWidth="1"/>
    <col min="14599" max="14599" width="16.5703125" style="14" bestFit="1" customWidth="1"/>
    <col min="14600" max="14600" width="13.85546875" style="14" bestFit="1" customWidth="1"/>
    <col min="14601" max="14601" width="18.7109375" style="14" bestFit="1" customWidth="1"/>
    <col min="14602" max="14602" width="14.140625" style="14" bestFit="1" customWidth="1"/>
    <col min="14603" max="14603" width="12" style="14" bestFit="1" customWidth="1"/>
    <col min="14604" max="14604" width="16.5703125" style="14" bestFit="1" customWidth="1"/>
    <col min="14605" max="14605" width="14.140625" style="14" bestFit="1" customWidth="1"/>
    <col min="14606" max="14606" width="16.5703125" style="14" bestFit="1" customWidth="1"/>
    <col min="14607" max="14607" width="1.85546875" style="14" customWidth="1"/>
    <col min="14608" max="14610" width="14.140625" style="14" bestFit="1" customWidth="1"/>
    <col min="14611" max="14611" width="9.5703125" style="14" customWidth="1"/>
    <col min="14612" max="14612" width="14.140625" style="14" bestFit="1" customWidth="1"/>
    <col min="14613" max="14613" width="9.5703125" style="14" bestFit="1" customWidth="1"/>
    <col min="14614" max="14614" width="11.42578125" style="14" customWidth="1"/>
    <col min="14615" max="14615" width="1.5703125" style="14" customWidth="1"/>
    <col min="14616" max="14616" width="16.5703125" style="14" bestFit="1" customWidth="1"/>
    <col min="14617" max="14617" width="1.5703125" style="14" customWidth="1"/>
    <col min="14618" max="14618" width="9.28515625" style="14" customWidth="1"/>
    <col min="14619" max="14619" width="0.85546875" style="14" customWidth="1"/>
    <col min="14620" max="14620" width="16.5703125" style="14" bestFit="1" customWidth="1"/>
    <col min="14621" max="14629" width="11.7109375" style="14" customWidth="1"/>
    <col min="14630" max="14848" width="17.28515625" style="14"/>
    <col min="14849" max="14849" width="4" style="14" customWidth="1"/>
    <col min="14850" max="14850" width="32.5703125" style="14" customWidth="1"/>
    <col min="14851" max="14851" width="9.42578125" style="14" bestFit="1" customWidth="1"/>
    <col min="14852" max="14852" width="20.85546875" style="14" customWidth="1"/>
    <col min="14853" max="14853" width="18" style="14" customWidth="1"/>
    <col min="14854" max="14854" width="2" style="14" customWidth="1"/>
    <col min="14855" max="14855" width="16.5703125" style="14" bestFit="1" customWidth="1"/>
    <col min="14856" max="14856" width="13.85546875" style="14" bestFit="1" customWidth="1"/>
    <col min="14857" max="14857" width="18.7109375" style="14" bestFit="1" customWidth="1"/>
    <col min="14858" max="14858" width="14.140625" style="14" bestFit="1" customWidth="1"/>
    <col min="14859" max="14859" width="12" style="14" bestFit="1" customWidth="1"/>
    <col min="14860" max="14860" width="16.5703125" style="14" bestFit="1" customWidth="1"/>
    <col min="14861" max="14861" width="14.140625" style="14" bestFit="1" customWidth="1"/>
    <col min="14862" max="14862" width="16.5703125" style="14" bestFit="1" customWidth="1"/>
    <col min="14863" max="14863" width="1.85546875" style="14" customWidth="1"/>
    <col min="14864" max="14866" width="14.140625" style="14" bestFit="1" customWidth="1"/>
    <col min="14867" max="14867" width="9.5703125" style="14" customWidth="1"/>
    <col min="14868" max="14868" width="14.140625" style="14" bestFit="1" customWidth="1"/>
    <col min="14869" max="14869" width="9.5703125" style="14" bestFit="1" customWidth="1"/>
    <col min="14870" max="14870" width="11.42578125" style="14" customWidth="1"/>
    <col min="14871" max="14871" width="1.5703125" style="14" customWidth="1"/>
    <col min="14872" max="14872" width="16.5703125" style="14" bestFit="1" customWidth="1"/>
    <col min="14873" max="14873" width="1.5703125" style="14" customWidth="1"/>
    <col min="14874" max="14874" width="9.28515625" style="14" customWidth="1"/>
    <col min="14875" max="14875" width="0.85546875" style="14" customWidth="1"/>
    <col min="14876" max="14876" width="16.5703125" style="14" bestFit="1" customWidth="1"/>
    <col min="14877" max="14885" width="11.7109375" style="14" customWidth="1"/>
    <col min="14886" max="15104" width="17.28515625" style="14"/>
    <col min="15105" max="15105" width="4" style="14" customWidth="1"/>
    <col min="15106" max="15106" width="32.5703125" style="14" customWidth="1"/>
    <col min="15107" max="15107" width="9.42578125" style="14" bestFit="1" customWidth="1"/>
    <col min="15108" max="15108" width="20.85546875" style="14" customWidth="1"/>
    <col min="15109" max="15109" width="18" style="14" customWidth="1"/>
    <col min="15110" max="15110" width="2" style="14" customWidth="1"/>
    <col min="15111" max="15111" width="16.5703125" style="14" bestFit="1" customWidth="1"/>
    <col min="15112" max="15112" width="13.85546875" style="14" bestFit="1" customWidth="1"/>
    <col min="15113" max="15113" width="18.7109375" style="14" bestFit="1" customWidth="1"/>
    <col min="15114" max="15114" width="14.140625" style="14" bestFit="1" customWidth="1"/>
    <col min="15115" max="15115" width="12" style="14" bestFit="1" customWidth="1"/>
    <col min="15116" max="15116" width="16.5703125" style="14" bestFit="1" customWidth="1"/>
    <col min="15117" max="15117" width="14.140625" style="14" bestFit="1" customWidth="1"/>
    <col min="15118" max="15118" width="16.5703125" style="14" bestFit="1" customWidth="1"/>
    <col min="15119" max="15119" width="1.85546875" style="14" customWidth="1"/>
    <col min="15120" max="15122" width="14.140625" style="14" bestFit="1" customWidth="1"/>
    <col min="15123" max="15123" width="9.5703125" style="14" customWidth="1"/>
    <col min="15124" max="15124" width="14.140625" style="14" bestFit="1" customWidth="1"/>
    <col min="15125" max="15125" width="9.5703125" style="14" bestFit="1" customWidth="1"/>
    <col min="15126" max="15126" width="11.42578125" style="14" customWidth="1"/>
    <col min="15127" max="15127" width="1.5703125" style="14" customWidth="1"/>
    <col min="15128" max="15128" width="16.5703125" style="14" bestFit="1" customWidth="1"/>
    <col min="15129" max="15129" width="1.5703125" style="14" customWidth="1"/>
    <col min="15130" max="15130" width="9.28515625" style="14" customWidth="1"/>
    <col min="15131" max="15131" width="0.85546875" style="14" customWidth="1"/>
    <col min="15132" max="15132" width="16.5703125" style="14" bestFit="1" customWidth="1"/>
    <col min="15133" max="15141" width="11.7109375" style="14" customWidth="1"/>
    <col min="15142" max="15360" width="17.28515625" style="14"/>
    <col min="15361" max="15361" width="4" style="14" customWidth="1"/>
    <col min="15362" max="15362" width="32.5703125" style="14" customWidth="1"/>
    <col min="15363" max="15363" width="9.42578125" style="14" bestFit="1" customWidth="1"/>
    <col min="15364" max="15364" width="20.85546875" style="14" customWidth="1"/>
    <col min="15365" max="15365" width="18" style="14" customWidth="1"/>
    <col min="15366" max="15366" width="2" style="14" customWidth="1"/>
    <col min="15367" max="15367" width="16.5703125" style="14" bestFit="1" customWidth="1"/>
    <col min="15368" max="15368" width="13.85546875" style="14" bestFit="1" customWidth="1"/>
    <col min="15369" max="15369" width="18.7109375" style="14" bestFit="1" customWidth="1"/>
    <col min="15370" max="15370" width="14.140625" style="14" bestFit="1" customWidth="1"/>
    <col min="15371" max="15371" width="12" style="14" bestFit="1" customWidth="1"/>
    <col min="15372" max="15372" width="16.5703125" style="14" bestFit="1" customWidth="1"/>
    <col min="15373" max="15373" width="14.140625" style="14" bestFit="1" customWidth="1"/>
    <col min="15374" max="15374" width="16.5703125" style="14" bestFit="1" customWidth="1"/>
    <col min="15375" max="15375" width="1.85546875" style="14" customWidth="1"/>
    <col min="15376" max="15378" width="14.140625" style="14" bestFit="1" customWidth="1"/>
    <col min="15379" max="15379" width="9.5703125" style="14" customWidth="1"/>
    <col min="15380" max="15380" width="14.140625" style="14" bestFit="1" customWidth="1"/>
    <col min="15381" max="15381" width="9.5703125" style="14" bestFit="1" customWidth="1"/>
    <col min="15382" max="15382" width="11.42578125" style="14" customWidth="1"/>
    <col min="15383" max="15383" width="1.5703125" style="14" customWidth="1"/>
    <col min="15384" max="15384" width="16.5703125" style="14" bestFit="1" customWidth="1"/>
    <col min="15385" max="15385" width="1.5703125" style="14" customWidth="1"/>
    <col min="15386" max="15386" width="9.28515625" style="14" customWidth="1"/>
    <col min="15387" max="15387" width="0.85546875" style="14" customWidth="1"/>
    <col min="15388" max="15388" width="16.5703125" style="14" bestFit="1" customWidth="1"/>
    <col min="15389" max="15397" width="11.7109375" style="14" customWidth="1"/>
    <col min="15398" max="15616" width="17.28515625" style="14"/>
    <col min="15617" max="15617" width="4" style="14" customWidth="1"/>
    <col min="15618" max="15618" width="32.5703125" style="14" customWidth="1"/>
    <col min="15619" max="15619" width="9.42578125" style="14" bestFit="1" customWidth="1"/>
    <col min="15620" max="15620" width="20.85546875" style="14" customWidth="1"/>
    <col min="15621" max="15621" width="18" style="14" customWidth="1"/>
    <col min="15622" max="15622" width="2" style="14" customWidth="1"/>
    <col min="15623" max="15623" width="16.5703125" style="14" bestFit="1" customWidth="1"/>
    <col min="15624" max="15624" width="13.85546875" style="14" bestFit="1" customWidth="1"/>
    <col min="15625" max="15625" width="18.7109375" style="14" bestFit="1" customWidth="1"/>
    <col min="15626" max="15626" width="14.140625" style="14" bestFit="1" customWidth="1"/>
    <col min="15627" max="15627" width="12" style="14" bestFit="1" customWidth="1"/>
    <col min="15628" max="15628" width="16.5703125" style="14" bestFit="1" customWidth="1"/>
    <col min="15629" max="15629" width="14.140625" style="14" bestFit="1" customWidth="1"/>
    <col min="15630" max="15630" width="16.5703125" style="14" bestFit="1" customWidth="1"/>
    <col min="15631" max="15631" width="1.85546875" style="14" customWidth="1"/>
    <col min="15632" max="15634" width="14.140625" style="14" bestFit="1" customWidth="1"/>
    <col min="15635" max="15635" width="9.5703125" style="14" customWidth="1"/>
    <col min="15636" max="15636" width="14.140625" style="14" bestFit="1" customWidth="1"/>
    <col min="15637" max="15637" width="9.5703125" style="14" bestFit="1" customWidth="1"/>
    <col min="15638" max="15638" width="11.42578125" style="14" customWidth="1"/>
    <col min="15639" max="15639" width="1.5703125" style="14" customWidth="1"/>
    <col min="15640" max="15640" width="16.5703125" style="14" bestFit="1" customWidth="1"/>
    <col min="15641" max="15641" width="1.5703125" style="14" customWidth="1"/>
    <col min="15642" max="15642" width="9.28515625" style="14" customWidth="1"/>
    <col min="15643" max="15643" width="0.85546875" style="14" customWidth="1"/>
    <col min="15644" max="15644" width="16.5703125" style="14" bestFit="1" customWidth="1"/>
    <col min="15645" max="15653" width="11.7109375" style="14" customWidth="1"/>
    <col min="15654" max="15872" width="17.28515625" style="14"/>
    <col min="15873" max="15873" width="4" style="14" customWidth="1"/>
    <col min="15874" max="15874" width="32.5703125" style="14" customWidth="1"/>
    <col min="15875" max="15875" width="9.42578125" style="14" bestFit="1" customWidth="1"/>
    <col min="15876" max="15876" width="20.85546875" style="14" customWidth="1"/>
    <col min="15877" max="15877" width="18" style="14" customWidth="1"/>
    <col min="15878" max="15878" width="2" style="14" customWidth="1"/>
    <col min="15879" max="15879" width="16.5703125" style="14" bestFit="1" customWidth="1"/>
    <col min="15880" max="15880" width="13.85546875" style="14" bestFit="1" customWidth="1"/>
    <col min="15881" max="15881" width="18.7109375" style="14" bestFit="1" customWidth="1"/>
    <col min="15882" max="15882" width="14.140625" style="14" bestFit="1" customWidth="1"/>
    <col min="15883" max="15883" width="12" style="14" bestFit="1" customWidth="1"/>
    <col min="15884" max="15884" width="16.5703125" style="14" bestFit="1" customWidth="1"/>
    <col min="15885" max="15885" width="14.140625" style="14" bestFit="1" customWidth="1"/>
    <col min="15886" max="15886" width="16.5703125" style="14" bestFit="1" customWidth="1"/>
    <col min="15887" max="15887" width="1.85546875" style="14" customWidth="1"/>
    <col min="15888" max="15890" width="14.140625" style="14" bestFit="1" customWidth="1"/>
    <col min="15891" max="15891" width="9.5703125" style="14" customWidth="1"/>
    <col min="15892" max="15892" width="14.140625" style="14" bestFit="1" customWidth="1"/>
    <col min="15893" max="15893" width="9.5703125" style="14" bestFit="1" customWidth="1"/>
    <col min="15894" max="15894" width="11.42578125" style="14" customWidth="1"/>
    <col min="15895" max="15895" width="1.5703125" style="14" customWidth="1"/>
    <col min="15896" max="15896" width="16.5703125" style="14" bestFit="1" customWidth="1"/>
    <col min="15897" max="15897" width="1.5703125" style="14" customWidth="1"/>
    <col min="15898" max="15898" width="9.28515625" style="14" customWidth="1"/>
    <col min="15899" max="15899" width="0.85546875" style="14" customWidth="1"/>
    <col min="15900" max="15900" width="16.5703125" style="14" bestFit="1" customWidth="1"/>
    <col min="15901" max="15909" width="11.7109375" style="14" customWidth="1"/>
    <col min="15910" max="16128" width="17.28515625" style="14"/>
    <col min="16129" max="16129" width="4" style="14" customWidth="1"/>
    <col min="16130" max="16130" width="32.5703125" style="14" customWidth="1"/>
    <col min="16131" max="16131" width="9.42578125" style="14" bestFit="1" customWidth="1"/>
    <col min="16132" max="16132" width="20.85546875" style="14" customWidth="1"/>
    <col min="16133" max="16133" width="18" style="14" customWidth="1"/>
    <col min="16134" max="16134" width="2" style="14" customWidth="1"/>
    <col min="16135" max="16135" width="16.5703125" style="14" bestFit="1" customWidth="1"/>
    <col min="16136" max="16136" width="13.85546875" style="14" bestFit="1" customWidth="1"/>
    <col min="16137" max="16137" width="18.7109375" style="14" bestFit="1" customWidth="1"/>
    <col min="16138" max="16138" width="14.140625" style="14" bestFit="1" customWidth="1"/>
    <col min="16139" max="16139" width="12" style="14" bestFit="1" customWidth="1"/>
    <col min="16140" max="16140" width="16.5703125" style="14" bestFit="1" customWidth="1"/>
    <col min="16141" max="16141" width="14.140625" style="14" bestFit="1" customWidth="1"/>
    <col min="16142" max="16142" width="16.5703125" style="14" bestFit="1" customWidth="1"/>
    <col min="16143" max="16143" width="1.85546875" style="14" customWidth="1"/>
    <col min="16144" max="16146" width="14.140625" style="14" bestFit="1" customWidth="1"/>
    <col min="16147" max="16147" width="9.5703125" style="14" customWidth="1"/>
    <col min="16148" max="16148" width="14.140625" style="14" bestFit="1" customWidth="1"/>
    <col min="16149" max="16149" width="9.5703125" style="14" bestFit="1" customWidth="1"/>
    <col min="16150" max="16150" width="11.42578125" style="14" customWidth="1"/>
    <col min="16151" max="16151" width="1.5703125" style="14" customWidth="1"/>
    <col min="16152" max="16152" width="16.5703125" style="14" bestFit="1" customWidth="1"/>
    <col min="16153" max="16153" width="1.5703125" style="14" customWidth="1"/>
    <col min="16154" max="16154" width="9.28515625" style="14" customWidth="1"/>
    <col min="16155" max="16155" width="0.85546875" style="14" customWidth="1"/>
    <col min="16156" max="16156" width="16.5703125" style="14" bestFit="1" customWidth="1"/>
    <col min="16157" max="16165" width="11.7109375" style="14" customWidth="1"/>
    <col min="16166" max="16384" width="17.28515625" style="14"/>
  </cols>
  <sheetData>
    <row r="1" spans="1:37" s="3" customFormat="1" ht="104.25" customHeight="1" x14ac:dyDescent="0.25">
      <c r="A1" s="1"/>
      <c r="B1" s="1"/>
      <c r="C1" s="2"/>
      <c r="D1" s="2"/>
      <c r="E1" s="1"/>
      <c r="F1" s="1"/>
      <c r="G1" s="1"/>
      <c r="H1" s="153"/>
      <c r="I1" s="154"/>
      <c r="J1" s="154"/>
      <c r="K1" s="154"/>
      <c r="L1" s="154"/>
      <c r="M1" s="154"/>
      <c r="N1" s="154"/>
      <c r="O1" s="1"/>
      <c r="P1" s="1"/>
      <c r="Q1" s="1"/>
      <c r="R1" s="1"/>
      <c r="S1" s="1"/>
      <c r="T1" s="1"/>
      <c r="U1" s="1"/>
      <c r="V1" s="1"/>
      <c r="W1" s="1"/>
      <c r="X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18" x14ac:dyDescent="0.25">
      <c r="A2" s="1"/>
      <c r="B2" s="1"/>
      <c r="C2" s="2"/>
      <c r="D2" s="2"/>
      <c r="E2" s="1"/>
      <c r="F2" s="1"/>
      <c r="G2" s="1"/>
      <c r="H2" s="4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9" customFormat="1" ht="20.25" customHeight="1" x14ac:dyDescent="0.25">
      <c r="A3" s="5"/>
      <c r="B3" s="111" t="s">
        <v>54</v>
      </c>
      <c r="C3" s="5"/>
      <c r="D3" s="5"/>
      <c r="E3" s="5"/>
      <c r="F3" s="5"/>
      <c r="G3" s="5"/>
      <c r="H3" s="5"/>
      <c r="I3" s="5"/>
      <c r="J3" s="5"/>
      <c r="K3" s="5"/>
      <c r="L3" s="6"/>
      <c r="M3" s="7"/>
      <c r="N3" s="8"/>
      <c r="O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8.75" x14ac:dyDescent="0.25">
      <c r="A4" s="10"/>
      <c r="B4" s="11" t="s">
        <v>1</v>
      </c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8.75" x14ac:dyDescent="0.25">
      <c r="A5" s="10"/>
      <c r="B5" s="15"/>
      <c r="C5" s="16"/>
      <c r="D5" s="1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7"/>
      <c r="AA5" s="17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6.25" customHeight="1" x14ac:dyDescent="0.25">
      <c r="A6" s="10"/>
      <c r="B6" s="18" t="s">
        <v>55</v>
      </c>
      <c r="C6" s="16"/>
      <c r="D6" s="16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15.75" customHeight="1" x14ac:dyDescent="0.25">
      <c r="A7" s="10"/>
      <c r="B7" s="18"/>
      <c r="C7" s="16"/>
      <c r="D7" s="1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37" ht="18" x14ac:dyDescent="0.25">
      <c r="A8" s="19" t="s">
        <v>3</v>
      </c>
      <c r="B8" s="137" t="s">
        <v>4</v>
      </c>
      <c r="C8" s="138"/>
      <c r="D8" s="138"/>
      <c r="E8" s="139"/>
      <c r="F8" s="10"/>
      <c r="G8" s="137" t="s">
        <v>5</v>
      </c>
      <c r="H8" s="138"/>
      <c r="I8" s="138"/>
      <c r="J8" s="138"/>
      <c r="K8" s="138"/>
      <c r="L8" s="138"/>
      <c r="M8" s="138"/>
      <c r="N8" s="139"/>
      <c r="O8" s="10"/>
      <c r="P8" s="137" t="s">
        <v>6</v>
      </c>
      <c r="Q8" s="138"/>
      <c r="R8" s="138"/>
      <c r="S8" s="138"/>
      <c r="T8" s="138"/>
      <c r="U8" s="138"/>
      <c r="V8" s="139"/>
      <c r="W8" s="10"/>
      <c r="Y8" s="10"/>
      <c r="Z8" s="10"/>
      <c r="AA8" s="10"/>
      <c r="AB8" s="10"/>
      <c r="AC8" s="10"/>
    </row>
    <row r="9" spans="1:37" ht="18" hidden="1" x14ac:dyDescent="0.25">
      <c r="A9" s="16"/>
      <c r="B9" s="20"/>
      <c r="C9" s="21"/>
      <c r="D9" s="21"/>
      <c r="E9" s="22"/>
      <c r="F9" s="16"/>
      <c r="G9" s="20"/>
      <c r="H9" s="21"/>
      <c r="I9" s="23">
        <v>1.25</v>
      </c>
      <c r="J9" s="23">
        <v>1.35</v>
      </c>
      <c r="K9" s="23">
        <f>((850*0.35)/30/8)</f>
        <v>1.2395833333333333</v>
      </c>
      <c r="L9" s="21"/>
      <c r="M9" s="21"/>
      <c r="N9" s="22"/>
      <c r="O9" s="16"/>
      <c r="P9" s="24">
        <f>1/12</f>
        <v>8.3333333333333329E-2</v>
      </c>
      <c r="Q9" s="25">
        <v>0.16670000000000001</v>
      </c>
      <c r="R9" s="25">
        <v>9.7199999999999995E-2</v>
      </c>
      <c r="S9" s="25">
        <v>7.2222222222222202E-2</v>
      </c>
      <c r="T9" s="25">
        <v>0.09</v>
      </c>
      <c r="U9" s="21"/>
      <c r="V9" s="22">
        <f>+(0.78%+0.87%)</f>
        <v>1.6500000000000001E-2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spans="1:37" ht="54" x14ac:dyDescent="0.25">
      <c r="A10" s="26"/>
      <c r="B10" s="27" t="s">
        <v>7</v>
      </c>
      <c r="C10" s="140" t="s">
        <v>8</v>
      </c>
      <c r="D10" s="141"/>
      <c r="E10" s="28" t="s">
        <v>9</v>
      </c>
      <c r="F10" s="29"/>
      <c r="G10" s="30" t="s">
        <v>10</v>
      </c>
      <c r="H10" s="30" t="s">
        <v>11</v>
      </c>
      <c r="I10" s="31" t="s">
        <v>12</v>
      </c>
      <c r="J10" s="31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2"/>
      <c r="P10" s="30" t="s">
        <v>18</v>
      </c>
      <c r="Q10" s="30" t="s">
        <v>19</v>
      </c>
      <c r="R10" s="30" t="s">
        <v>20</v>
      </c>
      <c r="S10" s="30" t="s">
        <v>21</v>
      </c>
      <c r="T10" s="30" t="s">
        <v>22</v>
      </c>
      <c r="U10" s="30" t="s">
        <v>23</v>
      </c>
      <c r="V10" s="30" t="s">
        <v>24</v>
      </c>
      <c r="W10" s="32"/>
      <c r="X10" s="33" t="s">
        <v>25</v>
      </c>
      <c r="Y10" s="10"/>
      <c r="Z10" s="34" t="s">
        <v>26</v>
      </c>
      <c r="AA10" s="10"/>
      <c r="AB10" s="35" t="s">
        <v>27</v>
      </c>
      <c r="AC10" s="10"/>
    </row>
    <row r="11" spans="1:37" ht="18" x14ac:dyDescent="0.25">
      <c r="A11" s="26"/>
      <c r="B11" s="36" t="s">
        <v>28</v>
      </c>
      <c r="C11" s="37">
        <v>1</v>
      </c>
      <c r="D11" s="38" t="s">
        <v>29</v>
      </c>
      <c r="E11" s="39" t="s">
        <v>30</v>
      </c>
      <c r="F11" s="10"/>
      <c r="G11" s="40">
        <v>930</v>
      </c>
      <c r="H11" s="40">
        <v>93</v>
      </c>
      <c r="I11" s="40">
        <v>0</v>
      </c>
      <c r="J11" s="40">
        <v>0</v>
      </c>
      <c r="K11" s="40">
        <f>((((G11*1.35)/30)/8)*30*0)-(G11*0)</f>
        <v>0</v>
      </c>
      <c r="L11" s="40">
        <f>SUM(G11:K11)</f>
        <v>1023</v>
      </c>
      <c r="M11" s="40">
        <v>50</v>
      </c>
      <c r="N11" s="40">
        <f>+M11+H11+I11+J11+G11+K11</f>
        <v>1073</v>
      </c>
      <c r="O11" s="41"/>
      <c r="P11" s="40">
        <f>L11*$P$9</f>
        <v>85.25</v>
      </c>
      <c r="Q11" s="40">
        <f>(L11*1.09)*Q9</f>
        <v>185.88216900000003</v>
      </c>
      <c r="R11" s="40">
        <f>L11*$R$9</f>
        <v>99.435599999999994</v>
      </c>
      <c r="S11" s="40">
        <v>0</v>
      </c>
      <c r="T11" s="40">
        <f>(L11+P11+Q11+S11)*$T$9</f>
        <v>116.47189521</v>
      </c>
      <c r="U11" s="40">
        <v>2.86</v>
      </c>
      <c r="V11" s="40">
        <v>6.78</v>
      </c>
      <c r="W11" s="42"/>
      <c r="X11" s="43">
        <f>N11+P11+Q11+R11+S11+T11+U11+V11</f>
        <v>1569.6796642099998</v>
      </c>
      <c r="Y11" s="10"/>
      <c r="Z11" s="44">
        <v>1</v>
      </c>
      <c r="AA11" s="10"/>
      <c r="AB11" s="40">
        <f>X11*Z11</f>
        <v>1569.6796642099998</v>
      </c>
      <c r="AC11" s="10"/>
    </row>
    <row r="12" spans="1:37" ht="36" x14ac:dyDescent="0.25">
      <c r="A12" s="26"/>
      <c r="B12" s="36" t="s">
        <v>56</v>
      </c>
      <c r="C12" s="37">
        <v>1</v>
      </c>
      <c r="D12" s="38" t="s">
        <v>29</v>
      </c>
      <c r="E12" s="39" t="s">
        <v>30</v>
      </c>
      <c r="F12" s="10"/>
      <c r="G12" s="40">
        <f>930/30*13</f>
        <v>403</v>
      </c>
      <c r="H12" s="40">
        <v>93</v>
      </c>
      <c r="I12" s="40">
        <v>0</v>
      </c>
      <c r="J12" s="40">
        <v>0</v>
      </c>
      <c r="K12" s="40">
        <f>((((G12*1.35)/30)/8)*30*0)-(G12*0)</f>
        <v>0</v>
      </c>
      <c r="L12" s="40">
        <f>SUM(G12:K12)</f>
        <v>496</v>
      </c>
      <c r="M12" s="40">
        <v>50</v>
      </c>
      <c r="N12" s="40">
        <f>+M12+H12+I12+J12+G12+K12</f>
        <v>546</v>
      </c>
      <c r="O12" s="41"/>
      <c r="P12" s="40">
        <f>L12*$P$9</f>
        <v>41.333333333333329</v>
      </c>
      <c r="Q12" s="40">
        <f>(L12*1.09)*Q9</f>
        <v>90.124688000000006</v>
      </c>
      <c r="R12" s="40">
        <f>L12*$R$9</f>
        <v>48.211199999999998</v>
      </c>
      <c r="S12" s="40">
        <v>0</v>
      </c>
      <c r="T12" s="40">
        <f>(930+P12+Q12+S12)*$T$9</f>
        <v>95.531221919999993</v>
      </c>
      <c r="U12" s="40">
        <v>2.86</v>
      </c>
      <c r="V12" s="40">
        <v>6.78</v>
      </c>
      <c r="W12" s="42"/>
      <c r="X12" s="43">
        <f>N12+P12+Q12+R12+S12+T12+U12+V12</f>
        <v>830.84044325333332</v>
      </c>
      <c r="Y12" s="10"/>
      <c r="Z12" s="44">
        <v>1</v>
      </c>
      <c r="AA12" s="10"/>
      <c r="AB12" s="40">
        <f>X12*Z12</f>
        <v>830.84044325333332</v>
      </c>
      <c r="AC12" s="10"/>
    </row>
    <row r="13" spans="1:37" ht="16.5" customHeight="1" thickBot="1" x14ac:dyDescent="0.3">
      <c r="A13" s="10"/>
      <c r="B13" s="1"/>
      <c r="C13" s="45"/>
      <c r="D13" s="2"/>
      <c r="E13" s="45"/>
      <c r="F13" s="10"/>
      <c r="G13" s="46">
        <f>SUM(G11:G12)</f>
        <v>1333</v>
      </c>
      <c r="H13" s="46"/>
      <c r="I13" s="46">
        <f>SUM(I11:I12)</f>
        <v>0</v>
      </c>
      <c r="J13" s="46">
        <f t="shared" ref="J13:O13" si="0">SUM(J11:J12)</f>
        <v>0</v>
      </c>
      <c r="K13" s="46">
        <f t="shared" si="0"/>
        <v>0</v>
      </c>
      <c r="L13" s="46">
        <f t="shared" si="0"/>
        <v>1519</v>
      </c>
      <c r="M13" s="46">
        <f t="shared" si="0"/>
        <v>100</v>
      </c>
      <c r="N13" s="46">
        <f t="shared" si="0"/>
        <v>1619</v>
      </c>
      <c r="O13" s="46">
        <f t="shared" si="0"/>
        <v>0</v>
      </c>
      <c r="P13" s="46">
        <f>SUM(P11:P12)</f>
        <v>126.58333333333333</v>
      </c>
      <c r="Q13" s="46">
        <f t="shared" ref="Q13:V13" si="1">SUM(Q11:Q12)</f>
        <v>276.00685700000002</v>
      </c>
      <c r="R13" s="46">
        <f t="shared" si="1"/>
        <v>147.64679999999998</v>
      </c>
      <c r="S13" s="46">
        <f t="shared" si="1"/>
        <v>0</v>
      </c>
      <c r="T13" s="46">
        <f t="shared" si="1"/>
        <v>212.00311712999999</v>
      </c>
      <c r="U13" s="46">
        <f t="shared" si="1"/>
        <v>5.72</v>
      </c>
      <c r="V13" s="46">
        <f t="shared" si="1"/>
        <v>13.56</v>
      </c>
      <c r="W13" s="48"/>
      <c r="X13" s="49">
        <f>SUM(X11:X12)</f>
        <v>2400.5201074633333</v>
      </c>
      <c r="Y13" s="26"/>
      <c r="Z13" s="48"/>
      <c r="AA13" s="26"/>
      <c r="AB13" s="50">
        <f>SUM(AB11:AB12)</f>
        <v>2400.5201074633333</v>
      </c>
      <c r="AC13" s="10"/>
      <c r="AD13" s="51"/>
    </row>
    <row r="14" spans="1:37" ht="15.75" customHeight="1" thickTop="1" x14ac:dyDescent="0.25">
      <c r="A14" s="10"/>
      <c r="B14" s="10"/>
      <c r="C14" s="16"/>
      <c r="D14" s="16"/>
      <c r="E14" s="10"/>
      <c r="F14" s="10"/>
      <c r="G14" s="10"/>
      <c r="H14" s="10"/>
      <c r="I14" s="4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41"/>
      <c r="AC14" s="10"/>
      <c r="AD14" s="51"/>
    </row>
    <row r="15" spans="1:37" ht="15" hidden="1" customHeight="1" x14ac:dyDescent="0.25">
      <c r="A15" s="19" t="s">
        <v>31</v>
      </c>
      <c r="B15" s="52" t="s">
        <v>32</v>
      </c>
      <c r="C15" s="53"/>
      <c r="D15" s="53"/>
      <c r="E15" s="54"/>
      <c r="F15" s="10"/>
      <c r="G15" s="142" t="s">
        <v>33</v>
      </c>
      <c r="H15" s="10"/>
      <c r="I15" s="10"/>
      <c r="J15" s="10"/>
      <c r="K15" s="55"/>
      <c r="L15" s="5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37" ht="15" hidden="1" customHeight="1" x14ac:dyDescent="0.25">
      <c r="A16" s="19"/>
      <c r="B16" s="57"/>
      <c r="C16" s="58" t="s">
        <v>34</v>
      </c>
      <c r="D16" s="59" t="s">
        <v>35</v>
      </c>
      <c r="E16" s="60"/>
      <c r="F16" s="10"/>
      <c r="G16" s="143"/>
      <c r="H16" s="61"/>
      <c r="I16" s="61"/>
      <c r="J16" s="62"/>
      <c r="K16" s="61"/>
      <c r="L16" s="10"/>
      <c r="M16" s="10"/>
      <c r="N16" s="63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ht="15" hidden="1" customHeight="1" x14ac:dyDescent="0.25">
      <c r="A17" s="10"/>
      <c r="B17" s="64"/>
      <c r="C17" s="65">
        <v>16</v>
      </c>
      <c r="D17" s="65" t="s">
        <v>36</v>
      </c>
      <c r="E17" s="66"/>
      <c r="F17" s="10"/>
      <c r="G17" s="40">
        <v>0</v>
      </c>
      <c r="H17" s="1"/>
      <c r="I17" s="64"/>
      <c r="J17" s="64"/>
      <c r="K17" s="10"/>
      <c r="L17" s="67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68"/>
      <c r="Y17" s="10"/>
      <c r="Z17" s="10"/>
      <c r="AA17" s="10"/>
      <c r="AB17" s="10"/>
      <c r="AC17" s="10"/>
    </row>
    <row r="18" spans="1:29" ht="18" hidden="1" x14ac:dyDescent="0.25">
      <c r="A18" s="10"/>
      <c r="B18" s="10" t="s">
        <v>37</v>
      </c>
      <c r="C18" s="16"/>
      <c r="D18" s="16"/>
      <c r="E18" s="69"/>
      <c r="F18" s="10"/>
      <c r="G18" s="47">
        <f>SUM(G17:G17)</f>
        <v>0</v>
      </c>
      <c r="H18" s="61"/>
      <c r="I18" s="10"/>
      <c r="J18" s="1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10"/>
    </row>
    <row r="19" spans="1:29" ht="18" x14ac:dyDescent="0.25">
      <c r="A19" s="10"/>
      <c r="B19" s="10"/>
      <c r="C19" s="16"/>
      <c r="D19" s="16"/>
      <c r="E19" s="69"/>
      <c r="F19" s="10"/>
      <c r="G19" s="47"/>
      <c r="H19" s="61"/>
      <c r="I19" s="41"/>
      <c r="J19" s="10"/>
      <c r="K19" s="70"/>
      <c r="L19" s="70"/>
      <c r="M19" s="70"/>
      <c r="N19" s="70"/>
      <c r="O19" s="70"/>
      <c r="P19" s="70"/>
      <c r="Q19" s="70"/>
      <c r="R19" s="70"/>
      <c r="S19" s="7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ht="18" x14ac:dyDescent="0.25">
      <c r="A20" s="10"/>
      <c r="B20" s="10"/>
      <c r="C20" s="16"/>
      <c r="D20" s="16"/>
      <c r="E20" s="69"/>
      <c r="F20" s="10"/>
      <c r="G20" s="47"/>
      <c r="H20" s="61"/>
      <c r="I20" s="41"/>
      <c r="J20" s="41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10"/>
    </row>
    <row r="21" spans="1:29" ht="18" x14ac:dyDescent="0.25">
      <c r="A21" s="19" t="s">
        <v>31</v>
      </c>
      <c r="B21" s="71" t="s">
        <v>32</v>
      </c>
      <c r="C21" s="72"/>
      <c r="D21" s="73"/>
      <c r="E21" s="74"/>
      <c r="F21" s="10"/>
      <c r="G21" s="75" t="s">
        <v>33</v>
      </c>
      <c r="H21" s="61"/>
      <c r="I21" s="76"/>
      <c r="J21" s="76"/>
      <c r="K21" s="5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10"/>
    </row>
    <row r="22" spans="1:29" ht="18" x14ac:dyDescent="0.25">
      <c r="A22" s="10"/>
      <c r="B22" s="147" t="s">
        <v>38</v>
      </c>
      <c r="C22" s="148"/>
      <c r="D22" s="148"/>
      <c r="E22" s="149"/>
      <c r="F22" s="10"/>
      <c r="G22" s="77">
        <f>[2]Hoja3!F39</f>
        <v>901.0100000000001</v>
      </c>
      <c r="H22" s="61"/>
      <c r="I22" s="10"/>
      <c r="J22" s="1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10"/>
    </row>
    <row r="23" spans="1:29" ht="18" x14ac:dyDescent="0.25">
      <c r="A23" s="10"/>
      <c r="B23" s="78" t="s">
        <v>39</v>
      </c>
      <c r="C23" s="79"/>
      <c r="D23" s="79"/>
      <c r="E23" s="80"/>
      <c r="F23" s="10"/>
      <c r="G23" s="77">
        <f>[2]Hoja3!F46</f>
        <v>476.85500000000002</v>
      </c>
      <c r="H23" s="61"/>
      <c r="I23" s="10"/>
      <c r="J23" s="1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10"/>
    </row>
    <row r="24" spans="1:29" ht="18" x14ac:dyDescent="0.25">
      <c r="A24" s="10"/>
      <c r="B24" s="10"/>
      <c r="C24" s="16"/>
      <c r="D24" s="16"/>
      <c r="E24" s="69"/>
      <c r="F24" s="10"/>
      <c r="G24" s="47">
        <f>SUM(G22:G23)</f>
        <v>1377.8650000000002</v>
      </c>
      <c r="H24" s="61"/>
      <c r="I24" s="10"/>
      <c r="J24" s="1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10"/>
    </row>
    <row r="25" spans="1:29" ht="18" x14ac:dyDescent="0.25">
      <c r="A25" s="10"/>
      <c r="B25" s="10"/>
      <c r="C25" s="16"/>
      <c r="D25" s="16"/>
      <c r="E25" s="69"/>
      <c r="F25" s="10"/>
      <c r="G25" s="47"/>
      <c r="H25" s="61"/>
      <c r="I25" s="10"/>
      <c r="J25" s="10"/>
      <c r="K25" s="70"/>
      <c r="L25" s="70"/>
      <c r="M25" s="70"/>
      <c r="N25" s="70"/>
      <c r="O25" s="70"/>
      <c r="P25" s="70"/>
      <c r="Q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10"/>
    </row>
    <row r="26" spans="1:29" ht="16.5" customHeight="1" x14ac:dyDescent="0.25">
      <c r="A26" s="10"/>
      <c r="B26" s="10"/>
      <c r="C26" s="16"/>
      <c r="D26" s="16"/>
      <c r="E26" s="69"/>
      <c r="F26" s="10"/>
      <c r="G26" s="81"/>
      <c r="H26" s="61"/>
      <c r="I26" s="26"/>
      <c r="J26" s="26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10"/>
    </row>
    <row r="27" spans="1:29" ht="18" x14ac:dyDescent="0.25">
      <c r="A27" s="19" t="s">
        <v>31</v>
      </c>
      <c r="B27" s="82" t="s">
        <v>40</v>
      </c>
      <c r="C27" s="72"/>
      <c r="D27" s="72"/>
      <c r="E27" s="74"/>
      <c r="F27" s="10"/>
      <c r="G27" s="75" t="s">
        <v>33</v>
      </c>
      <c r="H27" s="61"/>
      <c r="I27" s="83"/>
      <c r="J27" s="83"/>
      <c r="K27" s="55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10"/>
    </row>
    <row r="28" spans="1:29" ht="15.75" customHeight="1" x14ac:dyDescent="0.25">
      <c r="A28" s="19"/>
      <c r="B28" s="84"/>
      <c r="C28" s="85">
        <v>1</v>
      </c>
      <c r="D28" s="144" t="s">
        <v>41</v>
      </c>
      <c r="E28" s="145"/>
      <c r="F28" s="10"/>
      <c r="G28" s="77">
        <f>((AB13+G24)*(0.2/365)*60)</f>
        <v>124.22088024536988</v>
      </c>
      <c r="H28" s="61"/>
      <c r="I28" s="83"/>
      <c r="J28" s="83"/>
      <c r="K28" s="55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10"/>
    </row>
    <row r="29" spans="1:29" ht="15.75" customHeight="1" x14ac:dyDescent="0.25">
      <c r="A29" s="19"/>
      <c r="B29" s="84"/>
      <c r="C29" s="86">
        <v>1</v>
      </c>
      <c r="D29" s="146" t="s">
        <v>42</v>
      </c>
      <c r="E29" s="146"/>
      <c r="F29" s="10"/>
      <c r="G29" s="77">
        <f>[2]Hoja4!F32</f>
        <v>318.3</v>
      </c>
      <c r="H29" s="87"/>
      <c r="I29" s="83"/>
      <c r="J29" s="83"/>
      <c r="K29" s="55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10"/>
    </row>
    <row r="30" spans="1:29" ht="15.75" customHeight="1" x14ac:dyDescent="0.25">
      <c r="A30" s="19"/>
      <c r="B30" s="84"/>
      <c r="C30" s="16"/>
      <c r="D30" s="16"/>
      <c r="E30" s="84"/>
      <c r="F30" s="10"/>
      <c r="G30" s="47">
        <f>SUM(G28:G29)</f>
        <v>442.52088024536988</v>
      </c>
      <c r="H30" s="88"/>
      <c r="I30" s="83"/>
      <c r="J30" s="83"/>
      <c r="K30" s="55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10"/>
    </row>
    <row r="31" spans="1:29" ht="18" x14ac:dyDescent="0.25">
      <c r="A31" s="19"/>
      <c r="B31" s="89"/>
      <c r="C31" s="16"/>
      <c r="D31" s="16"/>
      <c r="E31" s="89"/>
      <c r="F31" s="10"/>
      <c r="G31" s="81"/>
      <c r="H31" s="88"/>
      <c r="I31" s="83"/>
      <c r="J31" s="83"/>
      <c r="K31" s="5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10"/>
    </row>
    <row r="32" spans="1:29" ht="1.5" customHeight="1" x14ac:dyDescent="0.25">
      <c r="A32" s="19"/>
      <c r="B32" s="89"/>
      <c r="C32" s="16"/>
      <c r="D32" s="16"/>
      <c r="E32" s="89"/>
      <c r="F32" s="10"/>
      <c r="G32" s="81"/>
      <c r="H32" s="88"/>
      <c r="I32" s="83"/>
      <c r="J32" s="83"/>
      <c r="K32" s="55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10"/>
    </row>
    <row r="33" spans="1:37" ht="15.75" customHeight="1" x14ac:dyDescent="0.25">
      <c r="A33" s="19" t="s">
        <v>43</v>
      </c>
      <c r="B33" s="90" t="s">
        <v>44</v>
      </c>
      <c r="C33" s="91">
        <f>[2]Hoja2!U42</f>
        <v>6.5420560747663559E-2</v>
      </c>
      <c r="D33" s="92"/>
      <c r="E33" s="93"/>
      <c r="F33" s="10"/>
      <c r="G33" s="94">
        <f>(AB13+G24+G30)*H33</f>
        <v>295.4634191396093</v>
      </c>
      <c r="H33" s="88">
        <v>7.0000000000000007E-2</v>
      </c>
      <c r="I33" s="83"/>
      <c r="J33" s="83"/>
      <c r="K33" s="55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10"/>
    </row>
    <row r="34" spans="1:37" ht="18" x14ac:dyDescent="0.25">
      <c r="A34" s="10"/>
      <c r="B34" s="10"/>
      <c r="C34" s="16"/>
      <c r="D34" s="16"/>
      <c r="E34" s="10"/>
      <c r="F34" s="10"/>
      <c r="G34" s="41"/>
      <c r="H34" s="95"/>
      <c r="I34" s="83"/>
      <c r="J34" s="83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10"/>
    </row>
    <row r="35" spans="1:37" ht="17.25" customHeight="1" x14ac:dyDescent="0.25">
      <c r="A35" s="10"/>
      <c r="B35" s="156" t="s">
        <v>45</v>
      </c>
      <c r="C35" s="156"/>
      <c r="D35" s="156"/>
      <c r="E35" s="156"/>
      <c r="F35" s="2"/>
      <c r="G35" s="96">
        <f>AB13+G24+G30+G33</f>
        <v>4516.3694068483128</v>
      </c>
      <c r="H35" s="97"/>
      <c r="I35" s="98"/>
      <c r="J35" s="98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16"/>
    </row>
    <row r="36" spans="1:37" ht="18.75" thickBot="1" x14ac:dyDescent="0.3">
      <c r="A36" s="10"/>
      <c r="B36" s="10"/>
      <c r="C36" s="16"/>
      <c r="D36" s="16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7" ht="18" customHeight="1" thickBot="1" x14ac:dyDescent="0.3">
      <c r="A37" s="10"/>
      <c r="B37" s="157" t="s">
        <v>46</v>
      </c>
      <c r="C37" s="158"/>
      <c r="D37" s="158"/>
      <c r="E37" s="158"/>
      <c r="F37" s="158"/>
      <c r="G37" s="15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ht="18" x14ac:dyDescent="0.25">
      <c r="A38" s="10"/>
      <c r="B38" s="150" t="s">
        <v>47</v>
      </c>
      <c r="C38" s="151"/>
      <c r="D38" s="151"/>
      <c r="E38" s="151"/>
      <c r="F38" s="151"/>
      <c r="G38" s="152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 ht="18" x14ac:dyDescent="0.25">
      <c r="A39" s="10"/>
      <c r="B39" s="100" t="s">
        <v>48</v>
      </c>
      <c r="C39" s="69"/>
      <c r="D39" s="69"/>
      <c r="E39" s="69"/>
      <c r="F39" s="69"/>
      <c r="G39" s="10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spans="1:37" ht="18" x14ac:dyDescent="0.25">
      <c r="A40" s="10"/>
      <c r="B40" s="102" t="s">
        <v>49</v>
      </c>
      <c r="C40" s="16"/>
      <c r="D40" s="16"/>
      <c r="E40" s="10"/>
      <c r="F40" s="10"/>
      <c r="G40" s="103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7" ht="18.75" thickBot="1" x14ac:dyDescent="0.3">
      <c r="A41" s="10"/>
      <c r="B41" s="104" t="s">
        <v>50</v>
      </c>
      <c r="C41" s="105"/>
      <c r="D41" s="105"/>
      <c r="E41" s="106"/>
      <c r="F41" s="106"/>
      <c r="G41" s="107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7" ht="18" x14ac:dyDescent="0.25">
      <c r="A42" s="10"/>
      <c r="B42" s="10"/>
      <c r="C42" s="16"/>
      <c r="D42" s="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7" ht="18" x14ac:dyDescent="0.25">
      <c r="A43" s="10"/>
      <c r="B43" s="10"/>
      <c r="C43" s="16"/>
      <c r="D43" s="1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ht="18" x14ac:dyDescent="0.25">
      <c r="A44" s="10"/>
      <c r="B44" s="10"/>
      <c r="C44" s="16"/>
      <c r="D44" s="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 ht="18" x14ac:dyDescent="0.25">
      <c r="A45" s="10"/>
      <c r="B45" s="10"/>
      <c r="C45" s="16"/>
      <c r="D45" s="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 t="s">
        <v>51</v>
      </c>
      <c r="AF45" s="10"/>
      <c r="AG45" s="10"/>
      <c r="AH45" s="10"/>
      <c r="AI45" s="10"/>
      <c r="AJ45" s="10"/>
      <c r="AK45" s="10"/>
    </row>
    <row r="46" spans="1:37" ht="18" x14ac:dyDescent="0.25">
      <c r="A46" s="10"/>
      <c r="B46" s="10"/>
      <c r="C46" s="16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spans="1:37" ht="18" x14ac:dyDescent="0.25">
      <c r="A47" s="10"/>
      <c r="B47" s="10"/>
      <c r="C47" s="16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37" ht="6.75" customHeight="1" x14ac:dyDescent="0.25">
      <c r="A48" s="10"/>
      <c r="B48" s="10"/>
      <c r="C48" s="16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 t="s">
        <v>52</v>
      </c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ht="18" x14ac:dyDescent="0.25">
      <c r="A49" s="10"/>
      <c r="B49" s="10"/>
      <c r="C49" s="16"/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ht="18" x14ac:dyDescent="0.25">
      <c r="A50" s="10"/>
      <c r="B50" s="10"/>
      <c r="C50" s="16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ht="18" x14ac:dyDescent="0.25">
      <c r="A51" s="10"/>
      <c r="B51" s="10"/>
      <c r="C51" s="16"/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ht="18" x14ac:dyDescent="0.25">
      <c r="A52" s="10"/>
      <c r="B52" s="10"/>
      <c r="C52" s="16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ht="14.25" customHeight="1" x14ac:dyDescent="0.25">
      <c r="A53" s="10"/>
      <c r="B53" s="10"/>
      <c r="C53" s="16"/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ht="10.5" customHeight="1" x14ac:dyDescent="0.25">
      <c r="A54" s="10"/>
      <c r="B54" s="10"/>
      <c r="C54" s="16"/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 ht="18" x14ac:dyDescent="0.25">
      <c r="A55" s="10"/>
      <c r="B55" s="10"/>
      <c r="C55" s="16"/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ht="18" x14ac:dyDescent="0.25">
      <c r="A56" s="10"/>
      <c r="B56" s="10"/>
      <c r="C56" s="16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 ht="18" x14ac:dyDescent="0.25">
      <c r="A57" s="10"/>
      <c r="B57" s="10"/>
      <c r="C57" s="16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 ht="12" customHeight="1" x14ac:dyDescent="0.25">
      <c r="A58" s="10"/>
      <c r="B58" s="10"/>
      <c r="C58" s="16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 ht="7.5" customHeight="1" x14ac:dyDescent="0.25">
      <c r="A59" s="10"/>
      <c r="B59" s="109"/>
      <c r="C59" s="16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 ht="51" customHeight="1" x14ac:dyDescent="0.25">
      <c r="A60" s="10"/>
      <c r="B60" s="10"/>
      <c r="C60" s="16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65.75" customHeight="1" x14ac:dyDescent="0.25">
      <c r="A61" s="10"/>
      <c r="B61" s="10"/>
      <c r="C61" s="16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ht="18" x14ac:dyDescent="0.25">
      <c r="A62" s="10"/>
      <c r="B62" s="10"/>
      <c r="C62" s="16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ht="18" x14ac:dyDescent="0.25">
      <c r="A63" s="10"/>
      <c r="B63" s="10" t="s">
        <v>53</v>
      </c>
      <c r="C63" s="16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spans="1:37" ht="18" x14ac:dyDescent="0.25">
      <c r="A64" s="10"/>
      <c r="B64" s="10"/>
      <c r="C64" s="16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spans="1:37" ht="18" x14ac:dyDescent="0.25">
      <c r="A65" s="10"/>
      <c r="B65" s="10"/>
      <c r="C65" s="16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spans="1:37" ht="18" x14ac:dyDescent="0.25">
      <c r="A66" s="10"/>
      <c r="B66" s="10"/>
      <c r="C66" s="16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spans="1:37" ht="18" x14ac:dyDescent="0.25">
      <c r="A67" s="10"/>
      <c r="B67" s="10"/>
      <c r="C67" s="16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spans="1:37" ht="18" x14ac:dyDescent="0.25">
      <c r="A68" s="10"/>
      <c r="B68" s="10"/>
      <c r="C68" s="16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ht="18" x14ac:dyDescent="0.25">
      <c r="A69" s="10"/>
      <c r="B69" s="10"/>
      <c r="C69" s="16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spans="1:37" ht="18" x14ac:dyDescent="0.25">
      <c r="A70" s="10"/>
      <c r="B70" s="10"/>
      <c r="C70" s="16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8" x14ac:dyDescent="0.25">
      <c r="A71" s="10"/>
      <c r="B71" s="10"/>
      <c r="C71" s="16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8" x14ac:dyDescent="0.25">
      <c r="A72" s="10"/>
      <c r="B72" s="10"/>
      <c r="C72" s="16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87.5" customHeight="1" x14ac:dyDescent="0.25">
      <c r="A73" s="10"/>
      <c r="B73" s="10"/>
      <c r="C73" s="16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8" x14ac:dyDescent="0.25">
      <c r="A74" s="10"/>
      <c r="B74" s="10"/>
      <c r="C74" s="16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ht="18" x14ac:dyDescent="0.25">
      <c r="A75" s="10"/>
      <c r="B75" s="10"/>
      <c r="C75" s="16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ht="18" x14ac:dyDescent="0.25">
      <c r="A76" s="10"/>
      <c r="B76" s="10"/>
      <c r="C76" s="16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39.5" customHeight="1" x14ac:dyDescent="0.25">
      <c r="A77" s="10"/>
      <c r="B77" s="10"/>
      <c r="C77" s="16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spans="1:37" ht="18" x14ac:dyDescent="0.25">
      <c r="A78" s="10"/>
      <c r="B78" s="10"/>
      <c r="C78" s="16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spans="1:37" ht="18" x14ac:dyDescent="0.25">
      <c r="A79" s="10"/>
      <c r="B79" s="10"/>
      <c r="C79" s="16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spans="1:37" ht="18" x14ac:dyDescent="0.25">
      <c r="A80" s="10"/>
      <c r="B80" s="10"/>
      <c r="C80" s="16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spans="1:37" ht="18" x14ac:dyDescent="0.25">
      <c r="A81" s="10"/>
      <c r="B81" s="10"/>
      <c r="C81" s="16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ht="18" x14ac:dyDescent="0.25">
      <c r="A82" s="10"/>
      <c r="B82" s="10"/>
      <c r="C82" s="16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spans="1:37" ht="18" x14ac:dyDescent="0.25">
      <c r="A83" s="10"/>
      <c r="B83" s="10"/>
      <c r="C83" s="16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spans="1:37" ht="18" x14ac:dyDescent="0.25">
      <c r="A84" s="10"/>
      <c r="B84" s="10"/>
      <c r="C84" s="16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spans="1:37" ht="42" customHeight="1" x14ac:dyDescent="0.25">
      <c r="A85" s="10"/>
      <c r="B85" s="10" t="s">
        <v>57</v>
      </c>
      <c r="C85" s="16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ht="18" x14ac:dyDescent="0.25">
      <c r="A86" s="10"/>
      <c r="B86" s="10"/>
      <c r="C86" s="16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spans="1:37" ht="18" x14ac:dyDescent="0.25">
      <c r="A87" s="10"/>
      <c r="B87" s="10"/>
      <c r="C87" s="16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spans="1:37" ht="18" x14ac:dyDescent="0.25">
      <c r="A88" s="10"/>
      <c r="B88" s="10"/>
      <c r="C88" s="16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spans="1:37" ht="18" x14ac:dyDescent="0.25">
      <c r="A89" s="10"/>
      <c r="B89" s="10"/>
      <c r="C89" s="16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spans="1:37" ht="18" x14ac:dyDescent="0.25">
      <c r="A90" s="10"/>
      <c r="B90" s="10"/>
      <c r="C90" s="16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spans="1:37" ht="18" x14ac:dyDescent="0.25">
      <c r="A91" s="10"/>
      <c r="B91" s="10"/>
      <c r="C91" s="16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spans="1:37" ht="18" x14ac:dyDescent="0.25">
      <c r="A92" s="10"/>
      <c r="B92" s="10"/>
      <c r="C92" s="16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spans="1:37" ht="18" x14ac:dyDescent="0.25">
      <c r="A93" s="10"/>
      <c r="B93" s="10"/>
      <c r="C93" s="16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spans="1:37" ht="18" x14ac:dyDescent="0.25">
      <c r="A94" s="10"/>
      <c r="B94" s="10"/>
      <c r="C94" s="16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spans="1:37" ht="18" x14ac:dyDescent="0.25">
      <c r="A95" s="10"/>
      <c r="B95" s="10"/>
      <c r="C95" s="16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spans="1:37" ht="18" x14ac:dyDescent="0.25">
      <c r="A96" s="10"/>
      <c r="B96" s="10"/>
      <c r="C96" s="16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spans="1:37" ht="18" x14ac:dyDescent="0.25">
      <c r="A97" s="10"/>
      <c r="B97" s="10"/>
      <c r="C97" s="16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spans="1:37" ht="18" x14ac:dyDescent="0.25">
      <c r="A98" s="10"/>
      <c r="B98" s="10"/>
      <c r="C98" s="16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spans="1:37" ht="18" x14ac:dyDescent="0.25">
      <c r="A99" s="10"/>
      <c r="B99" s="10"/>
      <c r="C99" s="16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spans="1:37" ht="23.25" customHeight="1" x14ac:dyDescent="0.25">
      <c r="A100" s="10"/>
      <c r="B100" s="10"/>
      <c r="C100" s="16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spans="1:37" ht="0.75" customHeight="1" x14ac:dyDescent="0.25">
      <c r="A101" s="10"/>
      <c r="B101" s="10"/>
      <c r="C101" s="16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spans="1:37" ht="18" x14ac:dyDescent="0.25">
      <c r="A102" s="10"/>
      <c r="B102" s="10"/>
      <c r="C102" s="16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spans="1:37" ht="18" x14ac:dyDescent="0.25">
      <c r="A103" s="10"/>
      <c r="B103" s="10"/>
      <c r="C103" s="16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spans="1:37" ht="3.75" customHeight="1" x14ac:dyDescent="0.25">
      <c r="A104" s="10"/>
      <c r="B104" s="10"/>
      <c r="C104" s="16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spans="1:37" ht="18" x14ac:dyDescent="0.25">
      <c r="A105" s="10"/>
      <c r="B105" s="10"/>
      <c r="C105" s="16"/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spans="1:37" ht="18" x14ac:dyDescent="0.25">
      <c r="A106" s="10"/>
      <c r="B106" s="69"/>
      <c r="C106" s="69"/>
      <c r="D106" s="69"/>
      <c r="E106" s="69"/>
      <c r="F106" s="69"/>
      <c r="G106" s="69"/>
      <c r="H106" s="69"/>
      <c r="I106" s="6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spans="1:37" ht="18" x14ac:dyDescent="0.25">
      <c r="A107" s="10"/>
      <c r="B107" s="69"/>
      <c r="C107" s="69"/>
      <c r="D107" s="69"/>
      <c r="E107" s="69"/>
      <c r="F107" s="69"/>
      <c r="G107" s="69"/>
      <c r="H107" s="69"/>
      <c r="I107" s="6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spans="1:37" ht="18" x14ac:dyDescent="0.25">
      <c r="A108" s="10"/>
      <c r="B108" s="10"/>
      <c r="C108" s="16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spans="1:37" ht="18" x14ac:dyDescent="0.25">
      <c r="A109" s="10"/>
      <c r="B109" s="10"/>
      <c r="C109" s="16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spans="1:37" ht="18" x14ac:dyDescent="0.25">
      <c r="A110" s="10"/>
      <c r="B110" s="10"/>
      <c r="C110" s="16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spans="1:37" ht="18" x14ac:dyDescent="0.25">
      <c r="A111" s="10"/>
      <c r="B111" s="10"/>
      <c r="C111" s="16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spans="1:37" ht="18" x14ac:dyDescent="0.25">
      <c r="A112" s="10"/>
      <c r="B112" s="10"/>
      <c r="C112" s="16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spans="1:37" ht="18" x14ac:dyDescent="0.25">
      <c r="A113" s="10"/>
      <c r="B113" s="10"/>
      <c r="C113" s="16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spans="1:37" ht="18" x14ac:dyDescent="0.25">
      <c r="A114" s="10"/>
      <c r="B114" s="10"/>
      <c r="C114" s="16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spans="1:37" ht="18" x14ac:dyDescent="0.25">
      <c r="A115" s="10"/>
      <c r="B115" s="10"/>
      <c r="C115" s="16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spans="1:37" ht="18" x14ac:dyDescent="0.25">
      <c r="A116" s="10"/>
      <c r="B116" s="10"/>
      <c r="C116" s="16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spans="1:37" ht="18" x14ac:dyDescent="0.25">
      <c r="A117" s="10"/>
      <c r="B117" s="10"/>
      <c r="C117" s="16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spans="1:37" ht="18" x14ac:dyDescent="0.25">
      <c r="A118" s="10"/>
      <c r="B118" s="10"/>
      <c r="C118" s="16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spans="1:37" ht="18" x14ac:dyDescent="0.25">
      <c r="A119" s="10"/>
      <c r="B119" s="10"/>
      <c r="C119" s="16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spans="1:37" ht="18" x14ac:dyDescent="0.25">
      <c r="A120" s="10"/>
      <c r="B120" s="10"/>
      <c r="C120" s="16"/>
      <c r="D120" s="16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spans="1:37" ht="18" x14ac:dyDescent="0.25">
      <c r="A121" s="10"/>
      <c r="B121" s="10"/>
      <c r="C121" s="16"/>
      <c r="D121" s="16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spans="1:37" ht="18" x14ac:dyDescent="0.25">
      <c r="A122" s="10"/>
      <c r="B122" s="10"/>
      <c r="C122" s="16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spans="1:37" ht="18" x14ac:dyDescent="0.25">
      <c r="A123" s="10"/>
      <c r="B123" s="10"/>
      <c r="C123" s="16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spans="1:37" ht="18" x14ac:dyDescent="0.25">
      <c r="A124" s="10"/>
      <c r="B124" s="10"/>
      <c r="C124" s="16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spans="1:37" ht="18" x14ac:dyDescent="0.25">
      <c r="A125" s="10"/>
      <c r="B125" s="10"/>
      <c r="C125" s="16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spans="1:37" ht="18" x14ac:dyDescent="0.25">
      <c r="A126" s="10"/>
      <c r="B126" s="10"/>
      <c r="C126" s="16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spans="1:37" ht="18" x14ac:dyDescent="0.25">
      <c r="A127" s="10"/>
      <c r="B127" s="10"/>
      <c r="C127" s="16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spans="1:37" ht="18" x14ac:dyDescent="0.25">
      <c r="A128" s="10"/>
      <c r="B128" s="10"/>
      <c r="C128" s="16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spans="1:37" ht="18" x14ac:dyDescent="0.25">
      <c r="A129" s="10"/>
      <c r="B129" s="10"/>
      <c r="C129" s="16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spans="1:37" ht="18" x14ac:dyDescent="0.25">
      <c r="A130" s="10"/>
      <c r="B130" s="10"/>
      <c r="C130" s="16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spans="1:37" ht="18" x14ac:dyDescent="0.25">
      <c r="A131" s="10"/>
      <c r="B131" s="10"/>
      <c r="C131" s="16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spans="1:37" ht="18" x14ac:dyDescent="0.25">
      <c r="A132" s="10"/>
      <c r="B132" s="10"/>
      <c r="C132" s="16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spans="1:37" ht="18" x14ac:dyDescent="0.25">
      <c r="A133" s="10"/>
      <c r="B133" s="10"/>
      <c r="C133" s="16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spans="1:37" ht="18" x14ac:dyDescent="0.25">
      <c r="A134" s="10"/>
      <c r="B134" s="10"/>
      <c r="C134" s="16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spans="1:37" ht="18" x14ac:dyDescent="0.25">
      <c r="A135" s="10"/>
      <c r="B135" s="10"/>
      <c r="C135" s="16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spans="1:37" ht="18" x14ac:dyDescent="0.25">
      <c r="A136" s="10"/>
      <c r="B136" s="10"/>
      <c r="C136" s="16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spans="1:37" ht="18" x14ac:dyDescent="0.25">
      <c r="A137" s="10"/>
      <c r="B137" s="10"/>
      <c r="C137" s="16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spans="1:37" ht="18" x14ac:dyDescent="0.25">
      <c r="A138" s="10"/>
      <c r="B138" s="10"/>
      <c r="C138" s="16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spans="1:37" ht="18" x14ac:dyDescent="0.25">
      <c r="A139" s="10"/>
      <c r="B139" s="10"/>
      <c r="C139" s="16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spans="1:37" ht="18" x14ac:dyDescent="0.25">
      <c r="A140" s="10"/>
      <c r="B140" s="10"/>
      <c r="C140" s="16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spans="1:37" ht="18" x14ac:dyDescent="0.25">
      <c r="A141" s="10"/>
      <c r="B141" s="10"/>
      <c r="C141" s="16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spans="1:37" ht="18" x14ac:dyDescent="0.25">
      <c r="A142" s="10"/>
      <c r="B142" s="10"/>
      <c r="C142" s="16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spans="1:37" ht="18" x14ac:dyDescent="0.25">
      <c r="A143" s="10"/>
      <c r="B143" s="10"/>
      <c r="C143" s="16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spans="1:37" ht="18" x14ac:dyDescent="0.25">
      <c r="A144" s="10"/>
      <c r="B144" s="10"/>
      <c r="C144" s="16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spans="1:37" ht="18" x14ac:dyDescent="0.25">
      <c r="A145" s="10"/>
      <c r="B145" s="10"/>
      <c r="C145" s="16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spans="1:37" ht="18" x14ac:dyDescent="0.25">
      <c r="A146" s="10"/>
      <c r="B146" s="10"/>
      <c r="C146" s="16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spans="1:37" ht="18" x14ac:dyDescent="0.25">
      <c r="A147" s="10"/>
      <c r="B147" s="10"/>
      <c r="C147" s="16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spans="1:37" ht="18" x14ac:dyDescent="0.25">
      <c r="A148" s="10"/>
      <c r="B148" s="10"/>
      <c r="C148" s="16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spans="1:37" ht="18" x14ac:dyDescent="0.25">
      <c r="A149" s="10"/>
      <c r="B149" s="10"/>
      <c r="C149" s="16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spans="1:37" ht="18" x14ac:dyDescent="0.25">
      <c r="A150" s="10"/>
      <c r="B150" s="10"/>
      <c r="C150" s="16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spans="1:37" ht="18" x14ac:dyDescent="0.25">
      <c r="A151" s="10"/>
      <c r="B151" s="10"/>
      <c r="C151" s="16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spans="1:37" ht="18" x14ac:dyDescent="0.25">
      <c r="A152" s="10"/>
      <c r="B152" s="10"/>
      <c r="C152" s="16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spans="1:37" ht="18" x14ac:dyDescent="0.25">
      <c r="A153" s="10"/>
      <c r="B153" s="10"/>
      <c r="C153" s="16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spans="1:37" ht="18" x14ac:dyDescent="0.25">
      <c r="A154" s="10"/>
      <c r="B154" s="10"/>
      <c r="C154" s="16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spans="1:37" ht="18" x14ac:dyDescent="0.25">
      <c r="A155" s="10"/>
      <c r="B155" s="10"/>
      <c r="C155" s="16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spans="1:37" ht="18" x14ac:dyDescent="0.25">
      <c r="A156" s="10"/>
      <c r="B156" s="10"/>
      <c r="C156" s="16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spans="1:37" ht="18" x14ac:dyDescent="0.25">
      <c r="A157" s="10"/>
      <c r="B157" s="10"/>
      <c r="C157" s="16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spans="1:37" ht="18" x14ac:dyDescent="0.25">
      <c r="A158" s="10"/>
      <c r="B158" s="10"/>
      <c r="C158" s="16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spans="1:37" ht="18" x14ac:dyDescent="0.25">
      <c r="A159" s="10"/>
      <c r="B159" s="10"/>
      <c r="C159" s="16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spans="1:37" ht="18" x14ac:dyDescent="0.25">
      <c r="A160" s="10"/>
      <c r="B160" s="10"/>
      <c r="C160" s="16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spans="1:37" ht="18" x14ac:dyDescent="0.25">
      <c r="A161" s="10"/>
      <c r="B161" s="10"/>
      <c r="C161" s="16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spans="1:37" ht="18" x14ac:dyDescent="0.25">
      <c r="A162" s="10"/>
      <c r="B162" s="10"/>
      <c r="C162" s="16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spans="1:37" ht="18" x14ac:dyDescent="0.25">
      <c r="A163" s="10"/>
      <c r="B163" s="10"/>
      <c r="C163" s="16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spans="1:37" ht="18" x14ac:dyDescent="0.25">
      <c r="A164" s="10"/>
      <c r="B164" s="10"/>
      <c r="C164" s="16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spans="1:37" ht="18" x14ac:dyDescent="0.25">
      <c r="A165" s="10"/>
      <c r="B165" s="10"/>
      <c r="C165" s="16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spans="1:37" ht="18" x14ac:dyDescent="0.25">
      <c r="A166" s="10"/>
      <c r="B166" s="10"/>
      <c r="C166" s="16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spans="1:37" ht="18" x14ac:dyDescent="0.25">
      <c r="A167" s="10"/>
      <c r="B167" s="10"/>
      <c r="C167" s="16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spans="1:37" ht="18" x14ac:dyDescent="0.25">
      <c r="A168" s="10"/>
      <c r="B168" s="10"/>
      <c r="C168" s="16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spans="1:37" ht="18" x14ac:dyDescent="0.25">
      <c r="A169" s="10"/>
      <c r="B169" s="10"/>
      <c r="C169" s="16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spans="1:37" ht="18" x14ac:dyDescent="0.25">
      <c r="A170" s="10"/>
      <c r="B170" s="10"/>
      <c r="C170" s="16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spans="1:37" ht="18" x14ac:dyDescent="0.25">
      <c r="A171" s="10"/>
      <c r="B171" s="10"/>
      <c r="C171" s="16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spans="1:37" ht="18" x14ac:dyDescent="0.25">
      <c r="A172" s="10"/>
      <c r="B172" s="10"/>
      <c r="C172" s="16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spans="1:37" ht="18" x14ac:dyDescent="0.25">
      <c r="A173" s="10"/>
      <c r="B173" s="10"/>
      <c r="C173" s="16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spans="1:37" ht="18" x14ac:dyDescent="0.25">
      <c r="A174" s="10"/>
      <c r="B174" s="10"/>
      <c r="C174" s="16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spans="1:37" ht="18" x14ac:dyDescent="0.25">
      <c r="A175" s="10"/>
      <c r="B175" s="10"/>
      <c r="C175" s="16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spans="1:37" ht="18" x14ac:dyDescent="0.25">
      <c r="A176" s="10"/>
      <c r="B176" s="10"/>
      <c r="C176" s="16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spans="1:37" ht="18" x14ac:dyDescent="0.25">
      <c r="A177" s="10"/>
      <c r="B177" s="10"/>
      <c r="C177" s="16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spans="1:37" ht="18" x14ac:dyDescent="0.25">
      <c r="A178" s="10"/>
      <c r="B178" s="10"/>
      <c r="C178" s="16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spans="1:37" ht="18" x14ac:dyDescent="0.25">
      <c r="A179" s="10"/>
      <c r="B179" s="10"/>
      <c r="C179" s="16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spans="1:37" ht="18" x14ac:dyDescent="0.25">
      <c r="A180" s="10"/>
      <c r="B180" s="10"/>
      <c r="C180" s="16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spans="1:37" ht="18" x14ac:dyDescent="0.25">
      <c r="A181" s="10"/>
      <c r="B181" s="10"/>
      <c r="C181" s="16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spans="1:37" ht="18" x14ac:dyDescent="0.25">
      <c r="A182" s="10"/>
      <c r="B182" s="10"/>
      <c r="C182" s="16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spans="1:37" ht="18" x14ac:dyDescent="0.25">
      <c r="A183" s="10"/>
      <c r="B183" s="10"/>
      <c r="C183" s="16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spans="1:37" ht="18" x14ac:dyDescent="0.25">
      <c r="A184" s="10"/>
      <c r="B184" s="10"/>
      <c r="C184" s="16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spans="1:37" ht="18" x14ac:dyDescent="0.25">
      <c r="A185" s="10"/>
      <c r="B185" s="10"/>
      <c r="C185" s="16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spans="1:37" ht="18" x14ac:dyDescent="0.25">
      <c r="A186" s="10"/>
      <c r="B186" s="10"/>
      <c r="C186" s="16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spans="1:37" ht="18" x14ac:dyDescent="0.25">
      <c r="A187" s="10"/>
      <c r="B187" s="10"/>
      <c r="C187" s="16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spans="1:37" ht="18" x14ac:dyDescent="0.25">
      <c r="A188" s="10"/>
      <c r="B188" s="10"/>
      <c r="C188" s="16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spans="1:37" ht="18" x14ac:dyDescent="0.25">
      <c r="A189" s="10"/>
      <c r="B189" s="10"/>
      <c r="C189" s="16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spans="1:37" ht="18" x14ac:dyDescent="0.25">
      <c r="A190" s="10"/>
      <c r="B190" s="10"/>
      <c r="C190" s="16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spans="1:37" ht="18" x14ac:dyDescent="0.25">
      <c r="A191" s="10"/>
      <c r="B191" s="10"/>
      <c r="C191" s="16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spans="1:37" ht="18" x14ac:dyDescent="0.25">
      <c r="A192" s="10"/>
      <c r="B192" s="10"/>
      <c r="C192" s="16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spans="1:37" ht="18" x14ac:dyDescent="0.25">
      <c r="A193" s="10"/>
      <c r="B193" s="10"/>
      <c r="C193" s="16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spans="1:37" ht="18" x14ac:dyDescent="0.25">
      <c r="A194" s="10"/>
      <c r="B194" s="10"/>
      <c r="C194" s="16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spans="1:37" ht="18" x14ac:dyDescent="0.25">
      <c r="A195" s="10"/>
      <c r="B195" s="10"/>
      <c r="C195" s="16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spans="1:37" ht="18" x14ac:dyDescent="0.25">
      <c r="A196" s="10"/>
      <c r="B196" s="10"/>
      <c r="C196" s="16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spans="1:37" ht="18" x14ac:dyDescent="0.25">
      <c r="A197" s="10"/>
      <c r="B197" s="10"/>
      <c r="C197" s="16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spans="1:37" ht="18" x14ac:dyDescent="0.25">
      <c r="A198" s="10"/>
      <c r="B198" s="10"/>
      <c r="C198" s="16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spans="1:37" ht="18" x14ac:dyDescent="0.25">
      <c r="A199" s="10"/>
      <c r="B199" s="10"/>
      <c r="C199" s="16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spans="1:37" ht="18" x14ac:dyDescent="0.25">
      <c r="A200" s="10"/>
      <c r="B200" s="10"/>
      <c r="C200" s="16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spans="1:37" ht="18" x14ac:dyDescent="0.25">
      <c r="A201" s="10"/>
      <c r="B201" s="10"/>
      <c r="C201" s="16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spans="1:37" ht="18" x14ac:dyDescent="0.25">
      <c r="A202" s="10"/>
      <c r="B202" s="10"/>
      <c r="C202" s="16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spans="1:37" ht="18" x14ac:dyDescent="0.25">
      <c r="A203" s="10"/>
      <c r="B203" s="10"/>
      <c r="C203" s="16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spans="1:37" ht="18" x14ac:dyDescent="0.25">
      <c r="A204" s="10"/>
      <c r="B204" s="10"/>
      <c r="C204" s="16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spans="1:37" ht="18" x14ac:dyDescent="0.25">
      <c r="A205" s="10"/>
      <c r="B205" s="10"/>
      <c r="C205" s="16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spans="1:37" ht="18" x14ac:dyDescent="0.25">
      <c r="A206" s="10"/>
      <c r="B206" s="10"/>
      <c r="C206" s="16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spans="1:37" ht="18" x14ac:dyDescent="0.25">
      <c r="A207" s="10"/>
      <c r="B207" s="10"/>
      <c r="C207" s="16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spans="1:37" ht="18" x14ac:dyDescent="0.25">
      <c r="A208" s="10"/>
      <c r="B208" s="10"/>
      <c r="C208" s="16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spans="1:37" ht="18" x14ac:dyDescent="0.25">
      <c r="A209" s="10"/>
      <c r="B209" s="10"/>
      <c r="C209" s="16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spans="1:37" ht="18" x14ac:dyDescent="0.25">
      <c r="A210" s="10"/>
      <c r="B210" s="10"/>
      <c r="C210" s="16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spans="1:37" ht="18" x14ac:dyDescent="0.25">
      <c r="A211" s="10"/>
      <c r="B211" s="10"/>
      <c r="C211" s="16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spans="1:37" ht="18" x14ac:dyDescent="0.25">
      <c r="A212" s="10"/>
      <c r="B212" s="10"/>
      <c r="C212" s="16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spans="1:37" ht="18" x14ac:dyDescent="0.25">
      <c r="A213" s="10"/>
      <c r="B213" s="10"/>
      <c r="C213" s="16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spans="1:37" ht="18" x14ac:dyDescent="0.25">
      <c r="A214" s="10"/>
      <c r="B214" s="10"/>
      <c r="C214" s="16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spans="1:37" ht="18" x14ac:dyDescent="0.25">
      <c r="A215" s="10"/>
      <c r="B215" s="10"/>
      <c r="C215" s="16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spans="1:37" ht="18" x14ac:dyDescent="0.25">
      <c r="A216" s="10"/>
      <c r="B216" s="10"/>
      <c r="C216" s="16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spans="1:37" ht="18" x14ac:dyDescent="0.25">
      <c r="A217" s="10"/>
      <c r="B217" s="10"/>
      <c r="C217" s="16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spans="1:37" ht="18" x14ac:dyDescent="0.25">
      <c r="A218" s="10"/>
      <c r="B218" s="10"/>
      <c r="C218" s="16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spans="1:37" ht="18" x14ac:dyDescent="0.25">
      <c r="A219" s="10"/>
      <c r="B219" s="10"/>
      <c r="C219" s="16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spans="1:37" ht="18" x14ac:dyDescent="0.25">
      <c r="A220" s="10"/>
      <c r="B220" s="10"/>
      <c r="C220" s="16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spans="1:37" ht="18" x14ac:dyDescent="0.25">
      <c r="A221" s="10"/>
      <c r="B221" s="10"/>
      <c r="C221" s="16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spans="1:37" ht="18" x14ac:dyDescent="0.25">
      <c r="A222" s="10"/>
      <c r="B222" s="10"/>
      <c r="C222" s="16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spans="1:37" ht="18" x14ac:dyDescent="0.25">
      <c r="A223" s="10"/>
      <c r="B223" s="10"/>
      <c r="C223" s="16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spans="1:37" ht="18" x14ac:dyDescent="0.25">
      <c r="A224" s="10"/>
      <c r="B224" s="10"/>
      <c r="C224" s="16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spans="1:37" ht="18" x14ac:dyDescent="0.25">
      <c r="A225" s="10"/>
      <c r="B225" s="10"/>
      <c r="C225" s="16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spans="1:37" ht="18" x14ac:dyDescent="0.25">
      <c r="A226" s="10"/>
      <c r="B226" s="10"/>
      <c r="C226" s="16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spans="1:37" ht="18" x14ac:dyDescent="0.25">
      <c r="A227" s="10"/>
      <c r="B227" s="10"/>
      <c r="C227" s="16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spans="1:37" ht="18" x14ac:dyDescent="0.25">
      <c r="A228" s="10"/>
      <c r="B228" s="10"/>
      <c r="C228" s="16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spans="1:37" ht="18" x14ac:dyDescent="0.25">
      <c r="A229" s="10"/>
      <c r="B229" s="10"/>
      <c r="C229" s="16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spans="1:37" ht="18" x14ac:dyDescent="0.25">
      <c r="A230" s="10"/>
      <c r="B230" s="10"/>
      <c r="C230" s="16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spans="1:37" ht="18" x14ac:dyDescent="0.25">
      <c r="A231" s="10"/>
      <c r="B231" s="10"/>
      <c r="C231" s="16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spans="1:37" ht="18" x14ac:dyDescent="0.25">
      <c r="A232" s="10"/>
      <c r="B232" s="10"/>
      <c r="C232" s="16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spans="1:37" ht="18" x14ac:dyDescent="0.25">
      <c r="A233" s="10"/>
      <c r="B233" s="10"/>
      <c r="C233" s="16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spans="1:37" ht="18" x14ac:dyDescent="0.25">
      <c r="A234" s="10"/>
      <c r="B234" s="10"/>
      <c r="C234" s="16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spans="1:37" ht="18" x14ac:dyDescent="0.25">
      <c r="A235" s="10"/>
      <c r="B235" s="10"/>
      <c r="C235" s="16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spans="1:37" ht="18" x14ac:dyDescent="0.25">
      <c r="A236" s="10"/>
      <c r="B236" s="10"/>
      <c r="C236" s="16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spans="1:37" ht="18" x14ac:dyDescent="0.25">
      <c r="A237" s="10"/>
      <c r="B237" s="10"/>
      <c r="C237" s="16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spans="1:37" ht="18" x14ac:dyDescent="0.25">
      <c r="A238" s="10"/>
      <c r="B238" s="10"/>
      <c r="C238" s="16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spans="1:37" ht="18" x14ac:dyDescent="0.25">
      <c r="A239" s="10"/>
      <c r="B239" s="10"/>
      <c r="C239" s="16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spans="1:37" ht="18" x14ac:dyDescent="0.25">
      <c r="A240" s="10"/>
      <c r="B240" s="10"/>
      <c r="C240" s="16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spans="1:37" ht="18" x14ac:dyDescent="0.25">
      <c r="A241" s="10"/>
      <c r="B241" s="10"/>
      <c r="C241" s="16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spans="1:37" ht="18" x14ac:dyDescent="0.25">
      <c r="A242" s="10"/>
      <c r="B242" s="10"/>
      <c r="C242" s="16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spans="1:37" ht="18" x14ac:dyDescent="0.25">
      <c r="A243" s="10"/>
      <c r="B243" s="10"/>
      <c r="C243" s="16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spans="1:37" ht="18" x14ac:dyDescent="0.25">
      <c r="A244" s="10"/>
      <c r="B244" s="10"/>
      <c r="C244" s="16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spans="1:37" ht="18" x14ac:dyDescent="0.25">
      <c r="A245" s="10"/>
      <c r="B245" s="10"/>
      <c r="C245" s="16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spans="1:37" ht="18" x14ac:dyDescent="0.25">
      <c r="A246" s="10"/>
      <c r="B246" s="10"/>
      <c r="C246" s="16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spans="1:37" ht="18" x14ac:dyDescent="0.25">
      <c r="A247" s="10"/>
      <c r="B247" s="10"/>
      <c r="C247" s="16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spans="1:37" ht="18" x14ac:dyDescent="0.25">
      <c r="A248" s="10"/>
      <c r="B248" s="10"/>
      <c r="C248" s="16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spans="1:37" ht="18" x14ac:dyDescent="0.25">
      <c r="A249" s="10"/>
      <c r="B249" s="10"/>
      <c r="C249" s="16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spans="1:37" ht="18" x14ac:dyDescent="0.25">
      <c r="A250" s="10"/>
      <c r="B250" s="10"/>
      <c r="C250" s="16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spans="1:37" ht="18" x14ac:dyDescent="0.25">
      <c r="A251" s="10"/>
      <c r="B251" s="10"/>
      <c r="C251" s="16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spans="1:37" ht="18" x14ac:dyDescent="0.25">
      <c r="A252" s="10"/>
      <c r="B252" s="10"/>
      <c r="C252" s="16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1:37" ht="18" x14ac:dyDescent="0.25">
      <c r="A253" s="10"/>
      <c r="B253" s="10"/>
      <c r="C253" s="16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1:37" ht="18" x14ac:dyDescent="0.25">
      <c r="A254" s="10"/>
      <c r="B254" s="10"/>
      <c r="C254" s="16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1:37" ht="18" x14ac:dyDescent="0.25">
      <c r="A255" s="10"/>
      <c r="B255" s="10"/>
      <c r="C255" s="16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1:37" ht="18" x14ac:dyDescent="0.25">
      <c r="A256" s="10"/>
      <c r="B256" s="10"/>
      <c r="C256" s="16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spans="1:37" ht="18" x14ac:dyDescent="0.25">
      <c r="A257" s="10"/>
      <c r="B257" s="10"/>
      <c r="C257" s="16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1:37" ht="18" x14ac:dyDescent="0.25">
      <c r="A258" s="10"/>
      <c r="B258" s="10"/>
      <c r="C258" s="16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spans="1:37" ht="18" x14ac:dyDescent="0.25">
      <c r="A259" s="10"/>
      <c r="B259" s="10"/>
      <c r="C259" s="16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spans="1:37" ht="18" x14ac:dyDescent="0.25">
      <c r="A260" s="10"/>
      <c r="B260" s="10"/>
      <c r="C260" s="16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spans="1:37" ht="18" x14ac:dyDescent="0.25">
      <c r="A261" s="10"/>
      <c r="B261" s="10"/>
      <c r="C261" s="16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spans="1:37" ht="18" x14ac:dyDescent="0.25">
      <c r="A262" s="10"/>
      <c r="B262" s="10"/>
      <c r="C262" s="16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spans="1:37" ht="18" x14ac:dyDescent="0.25">
      <c r="A263" s="10"/>
      <c r="B263" s="10"/>
      <c r="C263" s="16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spans="1:37" ht="18" x14ac:dyDescent="0.25">
      <c r="A264" s="10"/>
      <c r="B264" s="10"/>
      <c r="C264" s="16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spans="1:37" ht="18" x14ac:dyDescent="0.25">
      <c r="A265" s="10"/>
      <c r="B265" s="10"/>
      <c r="C265" s="16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spans="1:37" ht="18" x14ac:dyDescent="0.25">
      <c r="A266" s="10"/>
      <c r="B266" s="10"/>
      <c r="C266" s="16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spans="1:37" ht="18" x14ac:dyDescent="0.25">
      <c r="A267" s="10"/>
      <c r="B267" s="10"/>
      <c r="C267" s="16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spans="1:37" ht="18" x14ac:dyDescent="0.25">
      <c r="A268" s="10"/>
      <c r="B268" s="10"/>
      <c r="C268" s="16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spans="1:37" ht="18" x14ac:dyDescent="0.25">
      <c r="A269" s="10"/>
      <c r="B269" s="10"/>
      <c r="C269" s="16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spans="1:37" ht="18" x14ac:dyDescent="0.25">
      <c r="A270" s="10"/>
      <c r="B270" s="10"/>
      <c r="C270" s="16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spans="1:37" ht="18" x14ac:dyDescent="0.25">
      <c r="A271" s="10"/>
      <c r="B271" s="10"/>
      <c r="C271" s="16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spans="1:37" ht="18" x14ac:dyDescent="0.25">
      <c r="A272" s="10"/>
      <c r="B272" s="10"/>
      <c r="C272" s="16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spans="1:37" ht="18" x14ac:dyDescent="0.25">
      <c r="A273" s="10"/>
      <c r="B273" s="10"/>
      <c r="C273" s="16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spans="1:37" ht="18" x14ac:dyDescent="0.25">
      <c r="A274" s="10"/>
      <c r="B274" s="10"/>
      <c r="C274" s="16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spans="1:37" ht="18" x14ac:dyDescent="0.25">
      <c r="A275" s="10"/>
      <c r="B275" s="10"/>
      <c r="C275" s="16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spans="1:37" ht="18" x14ac:dyDescent="0.25">
      <c r="A276" s="10"/>
      <c r="B276" s="10"/>
      <c r="C276" s="16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spans="1:37" ht="18" x14ac:dyDescent="0.25">
      <c r="A277" s="10"/>
      <c r="B277" s="10"/>
      <c r="C277" s="16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spans="1:37" ht="18" x14ac:dyDescent="0.25">
      <c r="A278" s="10"/>
      <c r="B278" s="10"/>
      <c r="C278" s="16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spans="1:37" ht="18" x14ac:dyDescent="0.25">
      <c r="A279" s="10"/>
      <c r="B279" s="10"/>
      <c r="C279" s="16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spans="1:37" ht="18" x14ac:dyDescent="0.25">
      <c r="A280" s="10"/>
      <c r="B280" s="10"/>
      <c r="C280" s="16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spans="1:37" ht="18" x14ac:dyDescent="0.25">
      <c r="A281" s="10"/>
      <c r="B281" s="10"/>
      <c r="C281" s="16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spans="1:37" ht="18" x14ac:dyDescent="0.25">
      <c r="A282" s="10"/>
      <c r="B282" s="10"/>
      <c r="C282" s="16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spans="1:37" ht="18" x14ac:dyDescent="0.25">
      <c r="A283" s="10"/>
      <c r="B283" s="10"/>
      <c r="C283" s="16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spans="1:37" ht="18" x14ac:dyDescent="0.25">
      <c r="A284" s="10"/>
      <c r="B284" s="10"/>
      <c r="C284" s="16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spans="1:37" ht="18" x14ac:dyDescent="0.25">
      <c r="A285" s="10"/>
      <c r="B285" s="10"/>
      <c r="C285" s="16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spans="1:37" ht="18" x14ac:dyDescent="0.25">
      <c r="A286" s="10"/>
      <c r="B286" s="10"/>
      <c r="C286" s="16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spans="1:37" ht="18" x14ac:dyDescent="0.25">
      <c r="A287" s="10"/>
      <c r="B287" s="10"/>
      <c r="C287" s="16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spans="1:37" ht="18" x14ac:dyDescent="0.25">
      <c r="A288" s="10"/>
      <c r="B288" s="10"/>
      <c r="C288" s="16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spans="1:37" ht="18" x14ac:dyDescent="0.25">
      <c r="A289" s="10"/>
      <c r="B289" s="10"/>
      <c r="C289" s="16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spans="1:37" ht="18" x14ac:dyDescent="0.25">
      <c r="A290" s="10"/>
      <c r="B290" s="10"/>
      <c r="C290" s="16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spans="1:37" ht="18" x14ac:dyDescent="0.25">
      <c r="A291" s="10"/>
      <c r="B291" s="10"/>
      <c r="C291" s="16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spans="1:37" ht="18" x14ac:dyDescent="0.25">
      <c r="A292" s="10"/>
      <c r="B292" s="10"/>
      <c r="C292" s="16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spans="1:37" ht="18" x14ac:dyDescent="0.25">
      <c r="A293" s="10"/>
      <c r="B293" s="10"/>
      <c r="C293" s="16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spans="1:37" ht="18" x14ac:dyDescent="0.25">
      <c r="A294" s="10"/>
      <c r="B294" s="10"/>
      <c r="C294" s="16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spans="1:37" ht="18" x14ac:dyDescent="0.25">
      <c r="A295" s="10"/>
      <c r="B295" s="10"/>
      <c r="C295" s="16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spans="1:37" ht="18" x14ac:dyDescent="0.25">
      <c r="A296" s="10"/>
      <c r="B296" s="10"/>
      <c r="C296" s="16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spans="1:37" ht="18" x14ac:dyDescent="0.25">
      <c r="A297" s="10"/>
      <c r="B297" s="10"/>
      <c r="C297" s="16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spans="1:37" ht="18" x14ac:dyDescent="0.25">
      <c r="A298" s="10"/>
      <c r="B298" s="10"/>
      <c r="C298" s="16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spans="1:37" ht="18" x14ac:dyDescent="0.25">
      <c r="A299" s="10"/>
      <c r="B299" s="10"/>
      <c r="C299" s="16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spans="1:37" ht="18" x14ac:dyDescent="0.25">
      <c r="A300" s="10"/>
      <c r="B300" s="10"/>
      <c r="C300" s="16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spans="1:37" ht="18" x14ac:dyDescent="0.25">
      <c r="A301" s="10"/>
      <c r="B301" s="10"/>
      <c r="C301" s="16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spans="1:37" ht="18" x14ac:dyDescent="0.25">
      <c r="A302" s="10"/>
      <c r="B302" s="10"/>
      <c r="C302" s="16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spans="1:37" ht="18" x14ac:dyDescent="0.25">
      <c r="A303" s="10"/>
      <c r="B303" s="10"/>
      <c r="C303" s="16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spans="1:37" ht="18" x14ac:dyDescent="0.25">
      <c r="A304" s="10"/>
      <c r="B304" s="10"/>
      <c r="C304" s="16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spans="1:37" ht="18" x14ac:dyDescent="0.25">
      <c r="A305" s="10"/>
      <c r="B305" s="10"/>
      <c r="C305" s="16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spans="1:37" ht="18" x14ac:dyDescent="0.25">
      <c r="A306" s="10"/>
      <c r="B306" s="10"/>
      <c r="C306" s="16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spans="1:37" ht="18" x14ac:dyDescent="0.25">
      <c r="A307" s="10"/>
      <c r="B307" s="10"/>
      <c r="C307" s="16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spans="1:37" ht="18" x14ac:dyDescent="0.25">
      <c r="A308" s="10"/>
      <c r="B308" s="10"/>
      <c r="C308" s="16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spans="1:37" ht="18" x14ac:dyDescent="0.25">
      <c r="A309" s="10"/>
      <c r="B309" s="10"/>
      <c r="C309" s="16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spans="1:37" ht="18" x14ac:dyDescent="0.25">
      <c r="A310" s="10"/>
      <c r="B310" s="10"/>
      <c r="C310" s="16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spans="1:37" ht="18" x14ac:dyDescent="0.25">
      <c r="A311" s="10"/>
      <c r="B311" s="10"/>
      <c r="C311" s="16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spans="1:37" ht="18" x14ac:dyDescent="0.25">
      <c r="A312" s="10"/>
      <c r="B312" s="10"/>
      <c r="C312" s="16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spans="1:37" ht="18" x14ac:dyDescent="0.25">
      <c r="A313" s="10"/>
      <c r="B313" s="10"/>
      <c r="C313" s="16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spans="1:37" ht="18" x14ac:dyDescent="0.25">
      <c r="A314" s="10"/>
      <c r="B314" s="10"/>
      <c r="C314" s="16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spans="1:37" ht="18" x14ac:dyDescent="0.25">
      <c r="A315" s="10"/>
      <c r="B315" s="10"/>
      <c r="C315" s="16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spans="1:37" ht="18" x14ac:dyDescent="0.25">
      <c r="A316" s="10"/>
      <c r="B316" s="10"/>
      <c r="C316" s="16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spans="1:37" ht="18" x14ac:dyDescent="0.25">
      <c r="A317" s="10"/>
      <c r="B317" s="10"/>
      <c r="C317" s="16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spans="1:37" ht="18" x14ac:dyDescent="0.25">
      <c r="A318" s="10"/>
      <c r="B318" s="10"/>
      <c r="C318" s="16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spans="1:37" ht="18" x14ac:dyDescent="0.25">
      <c r="A319" s="10"/>
      <c r="B319" s="10"/>
      <c r="C319" s="16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spans="1:37" ht="18" x14ac:dyDescent="0.25">
      <c r="A320" s="10"/>
      <c r="B320" s="10"/>
      <c r="C320" s="16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spans="1:37" ht="18" x14ac:dyDescent="0.25">
      <c r="A321" s="10"/>
      <c r="B321" s="10"/>
      <c r="C321" s="16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spans="1:37" ht="18" x14ac:dyDescent="0.25">
      <c r="A322" s="10"/>
      <c r="B322" s="10"/>
      <c r="C322" s="16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spans="1:37" ht="18" x14ac:dyDescent="0.25">
      <c r="A323" s="10"/>
      <c r="B323" s="10"/>
      <c r="C323" s="16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spans="1:37" ht="18" x14ac:dyDescent="0.25">
      <c r="A324" s="10"/>
      <c r="B324" s="10"/>
      <c r="C324" s="16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spans="1:37" ht="18" x14ac:dyDescent="0.25">
      <c r="A325" s="10"/>
      <c r="B325" s="10"/>
      <c r="C325" s="16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spans="1:37" ht="18" x14ac:dyDescent="0.25">
      <c r="A326" s="10"/>
      <c r="B326" s="10"/>
      <c r="C326" s="16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spans="1:37" ht="18" x14ac:dyDescent="0.25">
      <c r="A327" s="10"/>
      <c r="B327" s="10"/>
      <c r="C327" s="16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spans="1:37" ht="18" x14ac:dyDescent="0.25">
      <c r="A328" s="10"/>
      <c r="B328" s="10"/>
      <c r="C328" s="16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spans="1:37" ht="18" x14ac:dyDescent="0.25">
      <c r="A329" s="10"/>
      <c r="B329" s="10"/>
      <c r="C329" s="16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spans="1:37" ht="18" x14ac:dyDescent="0.25">
      <c r="A330" s="10"/>
      <c r="B330" s="10"/>
      <c r="C330" s="16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spans="1:37" ht="18" x14ac:dyDescent="0.25">
      <c r="A331" s="10"/>
      <c r="B331" s="10"/>
      <c r="C331" s="16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spans="1:37" ht="18" x14ac:dyDescent="0.25">
      <c r="A332" s="10"/>
      <c r="B332" s="10"/>
      <c r="C332" s="16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spans="1:37" ht="18" x14ac:dyDescent="0.25">
      <c r="A333" s="10"/>
      <c r="B333" s="10"/>
      <c r="C333" s="16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spans="1:37" ht="18" x14ac:dyDescent="0.25">
      <c r="A334" s="10"/>
      <c r="B334" s="10"/>
      <c r="C334" s="16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spans="1:37" ht="18" x14ac:dyDescent="0.25">
      <c r="A335" s="10"/>
      <c r="B335" s="10"/>
      <c r="C335" s="16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spans="1:37" ht="18" x14ac:dyDescent="0.25">
      <c r="A336" s="10"/>
      <c r="B336" s="10"/>
      <c r="C336" s="16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spans="1:37" ht="18" x14ac:dyDescent="0.25">
      <c r="A337" s="10"/>
      <c r="B337" s="10"/>
      <c r="C337" s="16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8" x14ac:dyDescent="0.25">
      <c r="A338" s="10"/>
      <c r="B338" s="10"/>
      <c r="C338" s="16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8" x14ac:dyDescent="0.25">
      <c r="A339" s="10"/>
      <c r="B339" s="10"/>
      <c r="C339" s="16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8" x14ac:dyDescent="0.25">
      <c r="A340" s="10"/>
      <c r="B340" s="10"/>
      <c r="C340" s="16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8" x14ac:dyDescent="0.25">
      <c r="A341" s="10"/>
      <c r="B341" s="10"/>
      <c r="C341" s="16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8" x14ac:dyDescent="0.25">
      <c r="A342" s="10"/>
      <c r="B342" s="10"/>
      <c r="C342" s="16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8" x14ac:dyDescent="0.25">
      <c r="A343" s="10"/>
      <c r="B343" s="10"/>
      <c r="C343" s="16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8" x14ac:dyDescent="0.25">
      <c r="A344" s="10"/>
      <c r="B344" s="10"/>
      <c r="C344" s="16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8" x14ac:dyDescent="0.25">
      <c r="A345" s="10"/>
      <c r="B345" s="10"/>
      <c r="C345" s="16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8" x14ac:dyDescent="0.25">
      <c r="A346" s="10"/>
      <c r="B346" s="10"/>
      <c r="C346" s="16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8" x14ac:dyDescent="0.25">
      <c r="A347" s="10"/>
      <c r="B347" s="10"/>
      <c r="C347" s="16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8" x14ac:dyDescent="0.25">
      <c r="A348" s="10"/>
      <c r="B348" s="10"/>
      <c r="C348" s="16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8" x14ac:dyDescent="0.25">
      <c r="A349" s="10"/>
      <c r="B349" s="10"/>
      <c r="C349" s="16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8" x14ac:dyDescent="0.25">
      <c r="A350" s="10"/>
      <c r="B350" s="10"/>
      <c r="C350" s="16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8" x14ac:dyDescent="0.25">
      <c r="A351" s="10"/>
      <c r="B351" s="10"/>
      <c r="C351" s="16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8" x14ac:dyDescent="0.25">
      <c r="A352" s="10"/>
      <c r="B352" s="10"/>
      <c r="C352" s="16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8" x14ac:dyDescent="0.25">
      <c r="A353" s="10"/>
      <c r="B353" s="10"/>
      <c r="C353" s="16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8" x14ac:dyDescent="0.25">
      <c r="A354" s="10"/>
      <c r="B354" s="10"/>
      <c r="C354" s="16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8" x14ac:dyDescent="0.25">
      <c r="A355" s="10"/>
      <c r="B355" s="10"/>
      <c r="C355" s="16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8" x14ac:dyDescent="0.25">
      <c r="A356" s="10"/>
      <c r="B356" s="10"/>
      <c r="C356" s="16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8" x14ac:dyDescent="0.25">
      <c r="A357" s="10"/>
      <c r="B357" s="10"/>
      <c r="C357" s="16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8" x14ac:dyDescent="0.25">
      <c r="A358" s="10"/>
      <c r="B358" s="10"/>
      <c r="C358" s="16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8" x14ac:dyDescent="0.25">
      <c r="A359" s="10"/>
      <c r="B359" s="10"/>
      <c r="C359" s="16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8" x14ac:dyDescent="0.25">
      <c r="A360" s="10"/>
      <c r="B360" s="10"/>
      <c r="C360" s="16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8" x14ac:dyDescent="0.25">
      <c r="A361" s="10"/>
      <c r="B361" s="10"/>
      <c r="C361" s="16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8" x14ac:dyDescent="0.25">
      <c r="A362" s="10"/>
      <c r="B362" s="10"/>
      <c r="C362" s="16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8" x14ac:dyDescent="0.25">
      <c r="A363" s="10"/>
      <c r="B363" s="10"/>
      <c r="C363" s="16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8" x14ac:dyDescent="0.25">
      <c r="A364" s="10"/>
      <c r="B364" s="10"/>
      <c r="C364" s="16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8" x14ac:dyDescent="0.25">
      <c r="A365" s="10"/>
      <c r="B365" s="10"/>
      <c r="C365" s="16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8" x14ac:dyDescent="0.25">
      <c r="A366" s="10"/>
      <c r="B366" s="10"/>
      <c r="C366" s="16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8" x14ac:dyDescent="0.25">
      <c r="A367" s="10"/>
      <c r="B367" s="10"/>
      <c r="C367" s="16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8" x14ac:dyDescent="0.25">
      <c r="A368" s="10"/>
      <c r="B368" s="10"/>
      <c r="C368" s="16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8" x14ac:dyDescent="0.25">
      <c r="A369" s="10"/>
      <c r="B369" s="10"/>
      <c r="C369" s="16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8" x14ac:dyDescent="0.25">
      <c r="A370" s="10"/>
      <c r="B370" s="10"/>
      <c r="C370" s="16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8" x14ac:dyDescent="0.25">
      <c r="A371" s="10"/>
      <c r="B371" s="10"/>
      <c r="C371" s="16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8" x14ac:dyDescent="0.25">
      <c r="A372" s="10"/>
      <c r="B372" s="10"/>
      <c r="C372" s="16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8" x14ac:dyDescent="0.25">
      <c r="A373" s="10"/>
      <c r="B373" s="10"/>
      <c r="C373" s="16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8" x14ac:dyDescent="0.25">
      <c r="A374" s="10"/>
      <c r="B374" s="10"/>
      <c r="C374" s="16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8" x14ac:dyDescent="0.25">
      <c r="A375" s="10"/>
      <c r="B375" s="10"/>
      <c r="C375" s="16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8" x14ac:dyDescent="0.25">
      <c r="A376" s="10"/>
      <c r="B376" s="10"/>
      <c r="C376" s="16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8" x14ac:dyDescent="0.25">
      <c r="A377" s="10"/>
      <c r="B377" s="10"/>
      <c r="C377" s="16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8" x14ac:dyDescent="0.25">
      <c r="A378" s="10"/>
      <c r="B378" s="10"/>
      <c r="C378" s="16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8" x14ac:dyDescent="0.25">
      <c r="A379" s="10"/>
      <c r="B379" s="10"/>
      <c r="C379" s="16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8" x14ac:dyDescent="0.25">
      <c r="A380" s="10"/>
      <c r="B380" s="10"/>
      <c r="C380" s="16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8" x14ac:dyDescent="0.25">
      <c r="A381" s="10"/>
      <c r="B381" s="10"/>
      <c r="C381" s="16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8" x14ac:dyDescent="0.25">
      <c r="A382" s="10"/>
      <c r="B382" s="10"/>
      <c r="C382" s="16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8" x14ac:dyDescent="0.25">
      <c r="A383" s="10"/>
      <c r="B383" s="10"/>
      <c r="C383" s="16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8" x14ac:dyDescent="0.25">
      <c r="A384" s="10"/>
      <c r="B384" s="10"/>
      <c r="C384" s="16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8" x14ac:dyDescent="0.25">
      <c r="A385" s="10"/>
      <c r="B385" s="10"/>
      <c r="C385" s="16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8" x14ac:dyDescent="0.25">
      <c r="A386" s="10"/>
      <c r="B386" s="10"/>
      <c r="C386" s="16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8" x14ac:dyDescent="0.25">
      <c r="A387" s="10"/>
      <c r="B387" s="10"/>
      <c r="C387" s="16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8" x14ac:dyDescent="0.25">
      <c r="A388" s="10"/>
      <c r="B388" s="10"/>
      <c r="C388" s="16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8" x14ac:dyDescent="0.25">
      <c r="A389" s="10"/>
      <c r="B389" s="10"/>
      <c r="C389" s="16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8" x14ac:dyDescent="0.25">
      <c r="A390" s="10"/>
      <c r="B390" s="10"/>
      <c r="C390" s="16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8" x14ac:dyDescent="0.25">
      <c r="A391" s="10"/>
      <c r="B391" s="10"/>
      <c r="C391" s="16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8" x14ac:dyDescent="0.25">
      <c r="A392" s="10"/>
      <c r="B392" s="10"/>
      <c r="C392" s="16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8" x14ac:dyDescent="0.25">
      <c r="A393" s="10"/>
      <c r="B393" s="10"/>
      <c r="C393" s="16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8" x14ac:dyDescent="0.25">
      <c r="A394" s="10"/>
      <c r="B394" s="10"/>
      <c r="C394" s="16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8" x14ac:dyDescent="0.25">
      <c r="A395" s="10"/>
      <c r="B395" s="10"/>
      <c r="C395" s="16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8" x14ac:dyDescent="0.25">
      <c r="A396" s="10"/>
      <c r="B396" s="10"/>
      <c r="C396" s="16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8" x14ac:dyDescent="0.25">
      <c r="A397" s="10"/>
      <c r="B397" s="10"/>
      <c r="C397" s="16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8" x14ac:dyDescent="0.25">
      <c r="A398" s="10"/>
      <c r="B398" s="10"/>
      <c r="C398" s="16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8" x14ac:dyDescent="0.25">
      <c r="A399" s="10"/>
      <c r="B399" s="10"/>
      <c r="C399" s="16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8" x14ac:dyDescent="0.25">
      <c r="A400" s="10"/>
      <c r="B400" s="10"/>
      <c r="C400" s="16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8" x14ac:dyDescent="0.25">
      <c r="A401" s="10"/>
      <c r="B401" s="10"/>
      <c r="C401" s="16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8" x14ac:dyDescent="0.25">
      <c r="A402" s="10"/>
      <c r="B402" s="10"/>
      <c r="C402" s="16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8" x14ac:dyDescent="0.25">
      <c r="A403" s="10"/>
      <c r="B403" s="10"/>
      <c r="C403" s="16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8" x14ac:dyDescent="0.25">
      <c r="A404" s="10"/>
      <c r="B404" s="10"/>
      <c r="C404" s="16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8" x14ac:dyDescent="0.25">
      <c r="A405" s="10"/>
      <c r="B405" s="10"/>
      <c r="C405" s="16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8" x14ac:dyDescent="0.25">
      <c r="A406" s="10"/>
      <c r="B406" s="10"/>
      <c r="C406" s="16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8" x14ac:dyDescent="0.25">
      <c r="A407" s="10"/>
      <c r="B407" s="10"/>
      <c r="C407" s="16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8" x14ac:dyDescent="0.25">
      <c r="A408" s="10"/>
      <c r="B408" s="10"/>
      <c r="C408" s="16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8" x14ac:dyDescent="0.25">
      <c r="A409" s="10"/>
      <c r="B409" s="10"/>
      <c r="C409" s="16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8" x14ac:dyDescent="0.25">
      <c r="A410" s="10"/>
      <c r="B410" s="10"/>
      <c r="C410" s="16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8" x14ac:dyDescent="0.25">
      <c r="A411" s="10"/>
      <c r="B411" s="10"/>
      <c r="C411" s="16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8" x14ac:dyDescent="0.25">
      <c r="A412" s="10"/>
      <c r="B412" s="10"/>
      <c r="C412" s="16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8" x14ac:dyDescent="0.25">
      <c r="A413" s="10"/>
      <c r="B413" s="10"/>
      <c r="C413" s="16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8" x14ac:dyDescent="0.25">
      <c r="A414" s="10"/>
      <c r="B414" s="10"/>
      <c r="C414" s="16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8" x14ac:dyDescent="0.25">
      <c r="A415" s="10"/>
      <c r="B415" s="10"/>
      <c r="C415" s="16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8" x14ac:dyDescent="0.25">
      <c r="A416" s="10"/>
      <c r="B416" s="10"/>
      <c r="C416" s="16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8" x14ac:dyDescent="0.25">
      <c r="A417" s="10"/>
      <c r="B417" s="10"/>
      <c r="C417" s="16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8" x14ac:dyDescent="0.25">
      <c r="A418" s="10"/>
      <c r="B418" s="10"/>
      <c r="C418" s="16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8" x14ac:dyDescent="0.25">
      <c r="A419" s="10"/>
      <c r="B419" s="10"/>
      <c r="C419" s="16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8" x14ac:dyDescent="0.25">
      <c r="A420" s="10"/>
      <c r="B420" s="10"/>
      <c r="C420" s="16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8" x14ac:dyDescent="0.25">
      <c r="A421" s="10"/>
      <c r="B421" s="10"/>
      <c r="C421" s="16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8" x14ac:dyDescent="0.25">
      <c r="A422" s="10"/>
      <c r="B422" s="10"/>
      <c r="C422" s="16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8" x14ac:dyDescent="0.25">
      <c r="A423" s="10"/>
      <c r="B423" s="10"/>
      <c r="C423" s="16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8" x14ac:dyDescent="0.25">
      <c r="A424" s="10"/>
      <c r="B424" s="10"/>
      <c r="C424" s="16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8" x14ac:dyDescent="0.25">
      <c r="A425" s="10"/>
      <c r="B425" s="10"/>
      <c r="C425" s="16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8" x14ac:dyDescent="0.25">
      <c r="A426" s="10"/>
      <c r="B426" s="10"/>
      <c r="C426" s="16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8" x14ac:dyDescent="0.25">
      <c r="A427" s="10"/>
      <c r="B427" s="10"/>
      <c r="C427" s="16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8" x14ac:dyDescent="0.25">
      <c r="A428" s="10"/>
      <c r="B428" s="10"/>
      <c r="C428" s="16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8" x14ac:dyDescent="0.25">
      <c r="A429" s="10"/>
      <c r="B429" s="10"/>
      <c r="C429" s="16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8" x14ac:dyDescent="0.25">
      <c r="A430" s="10"/>
      <c r="B430" s="10"/>
      <c r="C430" s="16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8" x14ac:dyDescent="0.25">
      <c r="A431" s="10"/>
      <c r="B431" s="10"/>
      <c r="C431" s="16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8" x14ac:dyDescent="0.25">
      <c r="A432" s="10"/>
      <c r="B432" s="10"/>
      <c r="C432" s="16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8" x14ac:dyDescent="0.25">
      <c r="A433" s="10"/>
      <c r="B433" s="10"/>
      <c r="C433" s="16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8" x14ac:dyDescent="0.25">
      <c r="A434" s="10"/>
      <c r="B434" s="10"/>
      <c r="C434" s="16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8" x14ac:dyDescent="0.25">
      <c r="A435" s="10"/>
      <c r="B435" s="10"/>
      <c r="C435" s="16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8" x14ac:dyDescent="0.25">
      <c r="A436" s="10"/>
      <c r="B436" s="10"/>
      <c r="C436" s="16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8" x14ac:dyDescent="0.25">
      <c r="A437" s="10"/>
      <c r="B437" s="10"/>
      <c r="C437" s="16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8" x14ac:dyDescent="0.25">
      <c r="A438" s="10"/>
      <c r="B438" s="10"/>
      <c r="C438" s="16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8" x14ac:dyDescent="0.25">
      <c r="A439" s="10"/>
      <c r="B439" s="10"/>
      <c r="C439" s="16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8" x14ac:dyDescent="0.25">
      <c r="A440" s="10"/>
      <c r="B440" s="10"/>
      <c r="C440" s="16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8" x14ac:dyDescent="0.25">
      <c r="A441" s="10"/>
      <c r="B441" s="10"/>
      <c r="C441" s="16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8" x14ac:dyDescent="0.25">
      <c r="A442" s="10"/>
      <c r="B442" s="10"/>
      <c r="C442" s="16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8" x14ac:dyDescent="0.25">
      <c r="A443" s="10"/>
      <c r="B443" s="10"/>
      <c r="C443" s="16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8" x14ac:dyDescent="0.25">
      <c r="A444" s="10"/>
      <c r="B444" s="10"/>
      <c r="C444" s="16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8" x14ac:dyDescent="0.25">
      <c r="A445" s="10"/>
      <c r="B445" s="10"/>
      <c r="C445" s="16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8" x14ac:dyDescent="0.25">
      <c r="A446" s="10"/>
      <c r="B446" s="10"/>
      <c r="C446" s="16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8" x14ac:dyDescent="0.25">
      <c r="A447" s="10"/>
      <c r="B447" s="10"/>
      <c r="C447" s="16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8" x14ac:dyDescent="0.25">
      <c r="A448" s="10"/>
      <c r="B448" s="10"/>
      <c r="C448" s="16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8" x14ac:dyDescent="0.25">
      <c r="A449" s="10"/>
      <c r="B449" s="10"/>
      <c r="C449" s="16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8" x14ac:dyDescent="0.25">
      <c r="A450" s="10"/>
      <c r="B450" s="10"/>
      <c r="C450" s="16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8" x14ac:dyDescent="0.25">
      <c r="A451" s="10"/>
      <c r="B451" s="10"/>
      <c r="C451" s="16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8" x14ac:dyDescent="0.25">
      <c r="A452" s="10"/>
      <c r="B452" s="10"/>
      <c r="C452" s="16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8" x14ac:dyDescent="0.25">
      <c r="A453" s="10"/>
      <c r="B453" s="10"/>
      <c r="C453" s="16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8" x14ac:dyDescent="0.25">
      <c r="A454" s="10"/>
      <c r="B454" s="10"/>
      <c r="C454" s="16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8" x14ac:dyDescent="0.25">
      <c r="A455" s="10"/>
      <c r="B455" s="10"/>
      <c r="C455" s="16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8" x14ac:dyDescent="0.25">
      <c r="A456" s="10"/>
      <c r="B456" s="10"/>
      <c r="C456" s="16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8" x14ac:dyDescent="0.25">
      <c r="A457" s="10"/>
      <c r="B457" s="10"/>
      <c r="C457" s="16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8" x14ac:dyDescent="0.25">
      <c r="A458" s="10"/>
      <c r="B458" s="10"/>
      <c r="C458" s="16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8" x14ac:dyDescent="0.25">
      <c r="A459" s="10"/>
      <c r="B459" s="10"/>
      <c r="C459" s="16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8" x14ac:dyDescent="0.25">
      <c r="A460" s="10"/>
      <c r="B460" s="10"/>
      <c r="C460" s="16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8" x14ac:dyDescent="0.25">
      <c r="A461" s="10"/>
      <c r="B461" s="10"/>
      <c r="C461" s="16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8" x14ac:dyDescent="0.25">
      <c r="A462" s="10"/>
      <c r="B462" s="10"/>
      <c r="C462" s="16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8" x14ac:dyDescent="0.25">
      <c r="A463" s="10"/>
      <c r="B463" s="10"/>
      <c r="C463" s="16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8" x14ac:dyDescent="0.25">
      <c r="A464" s="10"/>
      <c r="B464" s="10"/>
      <c r="C464" s="16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8" x14ac:dyDescent="0.25">
      <c r="A465" s="10"/>
      <c r="B465" s="10"/>
      <c r="C465" s="16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8" x14ac:dyDescent="0.25">
      <c r="A466" s="10"/>
      <c r="B466" s="10"/>
      <c r="C466" s="16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8" x14ac:dyDescent="0.25">
      <c r="A467" s="10"/>
      <c r="B467" s="10"/>
      <c r="C467" s="16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8" x14ac:dyDescent="0.25">
      <c r="A468" s="10"/>
      <c r="B468" s="10"/>
      <c r="C468" s="16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8" x14ac:dyDescent="0.25">
      <c r="A469" s="10"/>
      <c r="B469" s="10"/>
      <c r="C469" s="16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8" x14ac:dyDescent="0.25">
      <c r="A470" s="10"/>
      <c r="B470" s="10"/>
      <c r="C470" s="16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8" x14ac:dyDescent="0.25">
      <c r="A471" s="10"/>
      <c r="B471" s="10"/>
      <c r="C471" s="16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8" x14ac:dyDescent="0.25">
      <c r="A472" s="10"/>
      <c r="B472" s="10"/>
      <c r="C472" s="16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8" x14ac:dyDescent="0.25">
      <c r="A473" s="10"/>
      <c r="B473" s="10"/>
      <c r="C473" s="16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8" x14ac:dyDescent="0.25">
      <c r="A474" s="10"/>
      <c r="B474" s="10"/>
      <c r="C474" s="16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8" x14ac:dyDescent="0.25">
      <c r="A475" s="10"/>
      <c r="B475" s="10"/>
      <c r="C475" s="16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8" x14ac:dyDescent="0.25">
      <c r="A476" s="10"/>
      <c r="B476" s="10"/>
      <c r="C476" s="16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8" x14ac:dyDescent="0.25">
      <c r="A477" s="10"/>
      <c r="B477" s="10"/>
      <c r="C477" s="16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8" x14ac:dyDescent="0.25">
      <c r="A478" s="10"/>
      <c r="B478" s="10"/>
      <c r="C478" s="16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8" x14ac:dyDescent="0.25">
      <c r="A479" s="10"/>
      <c r="B479" s="10"/>
      <c r="C479" s="16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8" x14ac:dyDescent="0.25">
      <c r="A480" s="10"/>
      <c r="B480" s="10"/>
      <c r="C480" s="16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8" x14ac:dyDescent="0.25">
      <c r="A481" s="10"/>
      <c r="B481" s="10"/>
      <c r="C481" s="16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8" x14ac:dyDescent="0.25">
      <c r="A482" s="10"/>
      <c r="B482" s="10"/>
      <c r="C482" s="16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8" x14ac:dyDescent="0.25">
      <c r="A483" s="10"/>
      <c r="B483" s="10"/>
      <c r="C483" s="16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8" x14ac:dyDescent="0.25">
      <c r="A484" s="10"/>
      <c r="B484" s="10"/>
      <c r="C484" s="16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8" x14ac:dyDescent="0.25">
      <c r="A485" s="10"/>
      <c r="B485" s="10"/>
      <c r="C485" s="16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8" x14ac:dyDescent="0.25">
      <c r="A486" s="10"/>
      <c r="B486" s="10"/>
      <c r="C486" s="16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8" x14ac:dyDescent="0.25">
      <c r="A487" s="10"/>
      <c r="B487" s="10"/>
      <c r="C487" s="16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8" x14ac:dyDescent="0.25">
      <c r="A488" s="10"/>
      <c r="B488" s="10"/>
      <c r="C488" s="16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8" x14ac:dyDescent="0.25">
      <c r="A489" s="10"/>
      <c r="B489" s="10"/>
      <c r="C489" s="16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8" x14ac:dyDescent="0.25">
      <c r="A490" s="10"/>
      <c r="B490" s="10"/>
      <c r="C490" s="16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8" x14ac:dyDescent="0.25">
      <c r="A491" s="10"/>
      <c r="B491" s="10"/>
      <c r="C491" s="16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8" x14ac:dyDescent="0.25">
      <c r="A492" s="10"/>
      <c r="B492" s="10"/>
      <c r="C492" s="16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8" x14ac:dyDescent="0.25">
      <c r="A493" s="10"/>
      <c r="B493" s="10"/>
      <c r="C493" s="16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8" x14ac:dyDescent="0.25">
      <c r="A494" s="10"/>
      <c r="B494" s="10"/>
      <c r="C494" s="16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8" x14ac:dyDescent="0.25">
      <c r="A495" s="10"/>
      <c r="B495" s="10"/>
      <c r="C495" s="16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8" x14ac:dyDescent="0.25">
      <c r="A496" s="10"/>
      <c r="B496" s="10"/>
      <c r="C496" s="16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8" x14ac:dyDescent="0.25">
      <c r="A497" s="10"/>
      <c r="B497" s="10"/>
      <c r="C497" s="16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8" x14ac:dyDescent="0.25">
      <c r="A498" s="10"/>
      <c r="B498" s="10"/>
      <c r="C498" s="16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8" x14ac:dyDescent="0.25">
      <c r="A499" s="10"/>
      <c r="B499" s="10"/>
      <c r="C499" s="16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8" x14ac:dyDescent="0.25">
      <c r="A500" s="10"/>
      <c r="B500" s="10"/>
      <c r="C500" s="16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8" x14ac:dyDescent="0.25">
      <c r="A501" s="10"/>
      <c r="B501" s="10"/>
      <c r="C501" s="16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8" x14ac:dyDescent="0.25">
      <c r="A502" s="10"/>
      <c r="B502" s="10"/>
      <c r="C502" s="16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8" x14ac:dyDescent="0.25">
      <c r="A503" s="10"/>
      <c r="B503" s="10"/>
      <c r="C503" s="16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8" x14ac:dyDescent="0.25">
      <c r="A504" s="10"/>
      <c r="B504" s="10"/>
      <c r="C504" s="16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8" x14ac:dyDescent="0.25">
      <c r="A505" s="10"/>
      <c r="B505" s="10"/>
      <c r="C505" s="16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8" x14ac:dyDescent="0.25">
      <c r="A506" s="10"/>
      <c r="B506" s="10"/>
      <c r="C506" s="16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8" x14ac:dyDescent="0.25">
      <c r="A507" s="10"/>
      <c r="B507" s="10"/>
      <c r="C507" s="16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8" x14ac:dyDescent="0.25">
      <c r="A508" s="10"/>
      <c r="B508" s="10"/>
      <c r="C508" s="16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8" x14ac:dyDescent="0.25">
      <c r="A509" s="10"/>
      <c r="B509" s="10"/>
      <c r="C509" s="16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8" x14ac:dyDescent="0.25">
      <c r="A510" s="10"/>
      <c r="B510" s="10"/>
      <c r="C510" s="16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8" x14ac:dyDescent="0.25">
      <c r="A511" s="10"/>
      <c r="B511" s="10"/>
      <c r="C511" s="16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8" x14ac:dyDescent="0.25">
      <c r="A512" s="10"/>
      <c r="B512" s="10"/>
      <c r="C512" s="16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8" x14ac:dyDescent="0.25">
      <c r="A513" s="10"/>
      <c r="B513" s="10"/>
      <c r="C513" s="16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8" x14ac:dyDescent="0.25">
      <c r="A514" s="10"/>
      <c r="B514" s="10"/>
      <c r="C514" s="16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8" x14ac:dyDescent="0.25">
      <c r="A515" s="10"/>
      <c r="B515" s="10"/>
      <c r="C515" s="16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8" x14ac:dyDescent="0.25">
      <c r="A516" s="10"/>
      <c r="B516" s="10"/>
      <c r="C516" s="16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8" x14ac:dyDescent="0.25">
      <c r="A517" s="10"/>
      <c r="B517" s="10"/>
      <c r="C517" s="16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8" x14ac:dyDescent="0.25">
      <c r="A518" s="10"/>
      <c r="B518" s="10"/>
      <c r="C518" s="16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8" x14ac:dyDescent="0.25">
      <c r="A519" s="10"/>
      <c r="B519" s="10"/>
      <c r="C519" s="16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8" x14ac:dyDescent="0.25">
      <c r="A520" s="10"/>
      <c r="B520" s="10"/>
      <c r="C520" s="16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8" x14ac:dyDescent="0.25">
      <c r="A521" s="10"/>
      <c r="B521" s="10"/>
      <c r="C521" s="16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8" x14ac:dyDescent="0.25">
      <c r="A522" s="10"/>
      <c r="B522" s="10"/>
      <c r="C522" s="16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8" x14ac:dyDescent="0.25">
      <c r="A523" s="10"/>
      <c r="B523" s="10"/>
      <c r="C523" s="16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8" x14ac:dyDescent="0.25">
      <c r="A524" s="10"/>
      <c r="B524" s="10"/>
      <c r="C524" s="16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8" x14ac:dyDescent="0.25">
      <c r="A525" s="10"/>
      <c r="B525" s="10"/>
      <c r="C525" s="16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8" x14ac:dyDescent="0.25">
      <c r="A526" s="10"/>
      <c r="B526" s="10"/>
      <c r="C526" s="16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8" x14ac:dyDescent="0.25">
      <c r="A527" s="10"/>
      <c r="B527" s="10"/>
      <c r="C527" s="16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8" x14ac:dyDescent="0.25">
      <c r="A528" s="10"/>
      <c r="B528" s="10"/>
      <c r="C528" s="16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8" x14ac:dyDescent="0.25">
      <c r="A529" s="10"/>
      <c r="B529" s="10"/>
      <c r="C529" s="16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8" x14ac:dyDescent="0.25">
      <c r="A530" s="10"/>
      <c r="B530" s="10"/>
      <c r="C530" s="16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</sheetData>
  <mergeCells count="12">
    <mergeCell ref="B38:G38"/>
    <mergeCell ref="H1:N1"/>
    <mergeCell ref="B8:E8"/>
    <mergeCell ref="G8:N8"/>
    <mergeCell ref="P8:V8"/>
    <mergeCell ref="C10:D10"/>
    <mergeCell ref="G15:G16"/>
    <mergeCell ref="B22:E22"/>
    <mergeCell ref="D28:E28"/>
    <mergeCell ref="D29:E29"/>
    <mergeCell ref="B35:E35"/>
    <mergeCell ref="B37:G37"/>
  </mergeCells>
  <pageMargins left="0.25" right="0.25" top="0.75" bottom="0.75" header="0.3" footer="0.3"/>
  <pageSetup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4E8A-79DA-421E-8DB3-9250FBBE4A70}">
  <sheetPr>
    <pageSetUpPr fitToPage="1"/>
  </sheetPr>
  <dimension ref="A1:AK531"/>
  <sheetViews>
    <sheetView topLeftCell="A4" zoomScale="70" zoomScaleNormal="70" workbookViewId="0">
      <selection activeCell="I39" sqref="I39"/>
    </sheetView>
  </sheetViews>
  <sheetFormatPr baseColWidth="10" defaultColWidth="17.28515625" defaultRowHeight="15" customHeight="1" x14ac:dyDescent="0.25"/>
  <cols>
    <col min="1" max="1" width="4" style="14" customWidth="1"/>
    <col min="2" max="2" width="32.5703125" style="14" customWidth="1"/>
    <col min="3" max="3" width="9.42578125" style="14" bestFit="1" customWidth="1"/>
    <col min="4" max="4" width="20.85546875" style="110" customWidth="1"/>
    <col min="5" max="5" width="18" style="14" customWidth="1"/>
    <col min="6" max="6" width="2" style="14" customWidth="1"/>
    <col min="7" max="7" width="16.5703125" style="14" bestFit="1" customWidth="1"/>
    <col min="8" max="8" width="14.140625" style="14" bestFit="1" customWidth="1"/>
    <col min="9" max="9" width="12.28515625" style="14" customWidth="1"/>
    <col min="10" max="10" width="10.28515625" style="14" bestFit="1" customWidth="1"/>
    <col min="11" max="11" width="12" style="14" bestFit="1" customWidth="1"/>
    <col min="12" max="12" width="16.5703125" style="14" bestFit="1" customWidth="1"/>
    <col min="13" max="13" width="13.5703125" style="14" customWidth="1"/>
    <col min="14" max="14" width="16.5703125" style="14" bestFit="1" customWidth="1"/>
    <col min="15" max="15" width="1.85546875" style="14" customWidth="1"/>
    <col min="16" max="18" width="14.140625" style="14" bestFit="1" customWidth="1"/>
    <col min="19" max="19" width="11.28515625" style="14" bestFit="1" customWidth="1"/>
    <col min="20" max="20" width="14.140625" style="14" bestFit="1" customWidth="1"/>
    <col min="21" max="21" width="11" style="14" bestFit="1" customWidth="1"/>
    <col min="22" max="22" width="12.5703125" style="14" bestFit="1" customWidth="1"/>
    <col min="23" max="23" width="1.5703125" style="14" customWidth="1"/>
    <col min="24" max="24" width="16.5703125" style="14" bestFit="1" customWidth="1"/>
    <col min="25" max="25" width="1.5703125" style="14" customWidth="1"/>
    <col min="26" max="26" width="9.28515625" style="14" customWidth="1"/>
    <col min="27" max="27" width="0.85546875" style="14" customWidth="1"/>
    <col min="28" max="28" width="16.5703125" style="14" bestFit="1" customWidth="1"/>
    <col min="29" max="37" width="11.7109375" style="14" customWidth="1"/>
    <col min="38" max="16384" width="17.28515625" style="14"/>
  </cols>
  <sheetData>
    <row r="1" spans="1:37" s="3" customFormat="1" ht="104.25" customHeight="1" x14ac:dyDescent="0.25">
      <c r="A1" s="1"/>
      <c r="B1" s="1"/>
      <c r="C1" s="2"/>
      <c r="D1" s="2"/>
      <c r="E1" s="1"/>
      <c r="F1" s="1"/>
      <c r="G1" s="1"/>
      <c r="H1" s="153"/>
      <c r="I1" s="154"/>
      <c r="J1" s="154"/>
      <c r="K1" s="154"/>
      <c r="L1" s="154"/>
      <c r="M1" s="154"/>
      <c r="N1" s="154"/>
      <c r="O1" s="1"/>
      <c r="P1" s="1"/>
      <c r="Q1" s="1"/>
      <c r="R1" s="1"/>
      <c r="S1" s="1"/>
      <c r="T1" s="1"/>
      <c r="U1" s="1"/>
      <c r="V1" s="1"/>
      <c r="W1" s="1"/>
      <c r="X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18" x14ac:dyDescent="0.25">
      <c r="A2" s="1"/>
      <c r="B2" s="1"/>
      <c r="C2" s="2"/>
      <c r="D2" s="2"/>
      <c r="E2" s="1"/>
      <c r="F2" s="1"/>
      <c r="G2" s="1"/>
      <c r="H2" s="4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9" customFormat="1" ht="20.25" customHeight="1" x14ac:dyDescent="0.25">
      <c r="A3" s="5"/>
      <c r="B3" s="160" t="s">
        <v>58</v>
      </c>
      <c r="C3" s="160"/>
      <c r="D3" s="160"/>
      <c r="E3" s="160"/>
      <c r="F3" s="5"/>
      <c r="G3" s="5"/>
      <c r="H3" s="5"/>
      <c r="I3" s="5"/>
      <c r="J3" s="5"/>
      <c r="K3" s="5"/>
      <c r="L3" s="6"/>
      <c r="M3" s="7"/>
      <c r="N3" s="8"/>
      <c r="O3" s="5"/>
      <c r="P3" s="1"/>
      <c r="Q3" s="1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8.75" x14ac:dyDescent="0.25">
      <c r="A4" s="10"/>
      <c r="B4" s="11" t="s">
        <v>1</v>
      </c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8.75" x14ac:dyDescent="0.25">
      <c r="A5" s="10"/>
      <c r="B5" s="15"/>
      <c r="C5" s="16"/>
      <c r="D5" s="1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7"/>
      <c r="AA5" s="17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6.25" customHeight="1" x14ac:dyDescent="0.25">
      <c r="A6" s="10"/>
      <c r="B6" s="18" t="s">
        <v>59</v>
      </c>
      <c r="C6" s="16"/>
      <c r="D6" s="16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15.75" customHeight="1" x14ac:dyDescent="0.25">
      <c r="A7" s="10"/>
      <c r="B7" s="18"/>
      <c r="C7" s="16"/>
      <c r="D7" s="1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37" ht="18" x14ac:dyDescent="0.25">
      <c r="A8" s="19" t="s">
        <v>3</v>
      </c>
      <c r="B8" s="137" t="s">
        <v>4</v>
      </c>
      <c r="C8" s="138"/>
      <c r="D8" s="138"/>
      <c r="E8" s="139"/>
      <c r="F8" s="10"/>
      <c r="G8" s="137" t="s">
        <v>5</v>
      </c>
      <c r="H8" s="138"/>
      <c r="I8" s="138"/>
      <c r="J8" s="138"/>
      <c r="K8" s="138"/>
      <c r="L8" s="138"/>
      <c r="M8" s="138"/>
      <c r="N8" s="139"/>
      <c r="O8" s="10"/>
      <c r="P8" s="137" t="s">
        <v>6</v>
      </c>
      <c r="Q8" s="138"/>
      <c r="R8" s="138"/>
      <c r="S8" s="138"/>
      <c r="T8" s="138"/>
      <c r="U8" s="138"/>
      <c r="V8" s="139"/>
      <c r="W8" s="10"/>
      <c r="Y8" s="10"/>
      <c r="Z8" s="10"/>
      <c r="AA8" s="10"/>
      <c r="AB8" s="10"/>
      <c r="AC8" s="10"/>
    </row>
    <row r="9" spans="1:37" ht="18" hidden="1" x14ac:dyDescent="0.25">
      <c r="A9" s="16"/>
      <c r="B9" s="20"/>
      <c r="C9" s="21"/>
      <c r="D9" s="21"/>
      <c r="E9" s="22"/>
      <c r="F9" s="16"/>
      <c r="G9" s="20"/>
      <c r="H9" s="21"/>
      <c r="I9" s="23">
        <v>1.25</v>
      </c>
      <c r="J9" s="23">
        <v>1.35</v>
      </c>
      <c r="K9" s="23">
        <f>((850*0.35)/30/8)</f>
        <v>1.2395833333333333</v>
      </c>
      <c r="L9" s="21"/>
      <c r="M9" s="21"/>
      <c r="N9" s="22"/>
      <c r="O9" s="16"/>
      <c r="P9" s="24">
        <f>1/12</f>
        <v>8.3333333333333329E-2</v>
      </c>
      <c r="Q9" s="25">
        <v>0.16670000000000001</v>
      </c>
      <c r="R9" s="25">
        <v>9.7199999999999995E-2</v>
      </c>
      <c r="S9" s="25">
        <v>7.2222222222222202E-2</v>
      </c>
      <c r="T9" s="25">
        <v>0.09</v>
      </c>
      <c r="U9" s="21"/>
      <c r="V9" s="22">
        <f>+(0.78%+0.87%)</f>
        <v>1.6500000000000001E-2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spans="1:37" ht="54" x14ac:dyDescent="0.25">
      <c r="A10" s="26"/>
      <c r="B10" s="27" t="s">
        <v>7</v>
      </c>
      <c r="C10" s="140" t="s">
        <v>8</v>
      </c>
      <c r="D10" s="141"/>
      <c r="E10" s="28" t="s">
        <v>9</v>
      </c>
      <c r="F10" s="29"/>
      <c r="G10" s="30" t="s">
        <v>10</v>
      </c>
      <c r="H10" s="30" t="s">
        <v>11</v>
      </c>
      <c r="I10" s="31" t="s">
        <v>12</v>
      </c>
      <c r="J10" s="31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2"/>
      <c r="P10" s="30" t="s">
        <v>18</v>
      </c>
      <c r="Q10" s="30" t="s">
        <v>19</v>
      </c>
      <c r="R10" s="30" t="s">
        <v>20</v>
      </c>
      <c r="S10" s="30" t="s">
        <v>21</v>
      </c>
      <c r="T10" s="30" t="s">
        <v>22</v>
      </c>
      <c r="U10" s="30" t="s">
        <v>23</v>
      </c>
      <c r="V10" s="30" t="s">
        <v>24</v>
      </c>
      <c r="W10" s="32"/>
      <c r="X10" s="33" t="s">
        <v>25</v>
      </c>
      <c r="Y10" s="10"/>
      <c r="Z10" s="34" t="s">
        <v>26</v>
      </c>
      <c r="AA10" s="10"/>
      <c r="AB10" s="35" t="s">
        <v>27</v>
      </c>
      <c r="AC10" s="10"/>
    </row>
    <row r="11" spans="1:37" ht="18" x14ac:dyDescent="0.25">
      <c r="A11" s="26"/>
      <c r="B11" s="36" t="s">
        <v>60</v>
      </c>
      <c r="C11" s="37">
        <v>1</v>
      </c>
      <c r="D11" s="38" t="s">
        <v>29</v>
      </c>
      <c r="E11" s="39" t="s">
        <v>30</v>
      </c>
      <c r="F11" s="10"/>
      <c r="G11" s="40">
        <v>930</v>
      </c>
      <c r="H11" s="40">
        <v>93</v>
      </c>
      <c r="I11" s="40"/>
      <c r="J11" s="40"/>
      <c r="K11" s="40">
        <f>((((G11*1.35)/30)/8)*30*0)-(G11*0)</f>
        <v>0</v>
      </c>
      <c r="L11" s="40">
        <f>SUM(G11:K11)</f>
        <v>1023</v>
      </c>
      <c r="M11" s="40">
        <v>50</v>
      </c>
      <c r="N11" s="40">
        <f>+M11+H11+I11+J11+G11+K11</f>
        <v>1073</v>
      </c>
      <c r="O11" s="41"/>
      <c r="P11" s="40">
        <f>L11*$P$9</f>
        <v>85.25</v>
      </c>
      <c r="Q11" s="40">
        <f>(L11*1.09)*Q9</f>
        <v>185.88216900000003</v>
      </c>
      <c r="R11" s="40">
        <f>L11*$R$9</f>
        <v>99.435599999999994</v>
      </c>
      <c r="S11" s="40">
        <v>0</v>
      </c>
      <c r="T11" s="40">
        <f>(L11+P11+Q11+S11)*$T$9</f>
        <v>116.47189521</v>
      </c>
      <c r="U11" s="40">
        <v>2.86</v>
      </c>
      <c r="V11" s="40">
        <v>6.78</v>
      </c>
      <c r="W11" s="42"/>
      <c r="X11" s="43">
        <f>N11+P11+Q11+R11+S11+T11+U11+V11</f>
        <v>1569.6796642099998</v>
      </c>
      <c r="Y11" s="10"/>
      <c r="Z11" s="44">
        <v>1</v>
      </c>
      <c r="AA11" s="10"/>
      <c r="AB11" s="40">
        <f>X11*Z11</f>
        <v>1569.6796642099998</v>
      </c>
      <c r="AC11" s="10"/>
    </row>
    <row r="12" spans="1:37" ht="18" x14ac:dyDescent="0.25">
      <c r="A12" s="26"/>
      <c r="B12" s="36" t="s">
        <v>60</v>
      </c>
      <c r="C12" s="37">
        <v>1</v>
      </c>
      <c r="D12" s="38" t="s">
        <v>29</v>
      </c>
      <c r="E12" s="39" t="s">
        <v>30</v>
      </c>
      <c r="F12" s="10"/>
      <c r="G12" s="40">
        <v>930</v>
      </c>
      <c r="H12" s="40">
        <v>93</v>
      </c>
      <c r="I12" s="40"/>
      <c r="J12" s="40"/>
      <c r="K12" s="40">
        <f>((((G12*1.35)/30)/8)*30*0)-(G12*0)</f>
        <v>0</v>
      </c>
      <c r="L12" s="40">
        <f>SUM(G12:K12)</f>
        <v>1023</v>
      </c>
      <c r="M12" s="40">
        <v>50</v>
      </c>
      <c r="N12" s="40">
        <f>+M12+H12+I12+J12+G12+K12</f>
        <v>1073</v>
      </c>
      <c r="O12" s="41"/>
      <c r="P12" s="40">
        <f>L12*$P$9</f>
        <v>85.25</v>
      </c>
      <c r="Q12" s="40">
        <f>(L12*1.09)*Q9</f>
        <v>185.88216900000003</v>
      </c>
      <c r="R12" s="40">
        <f>L12*$R$9</f>
        <v>99.435599999999994</v>
      </c>
      <c r="S12" s="40">
        <v>0</v>
      </c>
      <c r="T12" s="40">
        <f>(L12+P12+Q12+S12)*$T$9</f>
        <v>116.47189521</v>
      </c>
      <c r="U12" s="40">
        <v>2.86</v>
      </c>
      <c r="V12" s="40">
        <v>6.78</v>
      </c>
      <c r="W12" s="42"/>
      <c r="X12" s="43">
        <f>N12+P12+Q12+R12+S12+T12+U12+V12</f>
        <v>1569.6796642099998</v>
      </c>
      <c r="Y12" s="10"/>
      <c r="Z12" s="44">
        <v>1</v>
      </c>
      <c r="AA12" s="10"/>
      <c r="AB12" s="40">
        <f>X12*Z12</f>
        <v>1569.6796642099998</v>
      </c>
      <c r="AC12" s="10"/>
    </row>
    <row r="13" spans="1:37" ht="18" x14ac:dyDescent="0.25">
      <c r="A13" s="26"/>
      <c r="B13" s="36" t="s">
        <v>60</v>
      </c>
      <c r="C13" s="37">
        <v>1</v>
      </c>
      <c r="D13" s="38" t="s">
        <v>29</v>
      </c>
      <c r="E13" s="39" t="s">
        <v>30</v>
      </c>
      <c r="F13" s="10"/>
      <c r="G13" s="40">
        <v>930</v>
      </c>
      <c r="H13" s="40">
        <v>93</v>
      </c>
      <c r="I13" s="40"/>
      <c r="J13" s="40"/>
      <c r="K13" s="40">
        <f>((((G13*1.35)/30)/8)*30*0)-(G13*0)</f>
        <v>0</v>
      </c>
      <c r="L13" s="40">
        <f>SUM(G13:K13)</f>
        <v>1023</v>
      </c>
      <c r="M13" s="40">
        <f>1.66666666666667*23</f>
        <v>38.333333333333414</v>
      </c>
      <c r="N13" s="40">
        <f>+M13+H13+I13+J13+G13+K13</f>
        <v>1061.3333333333335</v>
      </c>
      <c r="O13" s="41"/>
      <c r="P13" s="40">
        <f>L13*$P$9</f>
        <v>85.25</v>
      </c>
      <c r="Q13" s="40">
        <f>(L13*1.09)*Q9</f>
        <v>185.88216900000003</v>
      </c>
      <c r="R13" s="40">
        <f>L13*$R$9</f>
        <v>99.435599999999994</v>
      </c>
      <c r="S13" s="40">
        <v>0</v>
      </c>
      <c r="T13" s="40">
        <f>(L13+P13+Q13+S13)*$T$9</f>
        <v>116.47189521</v>
      </c>
      <c r="U13" s="40">
        <v>2.86</v>
      </c>
      <c r="V13" s="40">
        <v>6.78</v>
      </c>
      <c r="W13" s="42"/>
      <c r="X13" s="43">
        <f>N13+P13+Q13+R13+S13+T13+U13+V13</f>
        <v>1558.0129975433333</v>
      </c>
      <c r="Y13" s="10"/>
      <c r="Z13" s="44">
        <v>1</v>
      </c>
      <c r="AA13" s="10"/>
      <c r="AB13" s="40">
        <f>X13*Z13</f>
        <v>1558.0129975433333</v>
      </c>
      <c r="AC13" s="10"/>
    </row>
    <row r="14" spans="1:37" ht="16.5" customHeight="1" thickBot="1" x14ac:dyDescent="0.3">
      <c r="A14" s="10"/>
      <c r="B14" s="1"/>
      <c r="C14" s="45"/>
      <c r="D14" s="2"/>
      <c r="E14" s="45"/>
      <c r="F14" s="10"/>
      <c r="G14" s="46">
        <f>SUM(G11:G13)</f>
        <v>2790</v>
      </c>
      <c r="H14" s="46">
        <f t="shared" ref="H14:N14" si="0">SUM(H11:H13)</f>
        <v>279</v>
      </c>
      <c r="I14" s="46">
        <f t="shared" si="0"/>
        <v>0</v>
      </c>
      <c r="J14" s="46">
        <f t="shared" si="0"/>
        <v>0</v>
      </c>
      <c r="K14" s="46">
        <f t="shared" si="0"/>
        <v>0</v>
      </c>
      <c r="L14" s="46">
        <f t="shared" si="0"/>
        <v>3069</v>
      </c>
      <c r="M14" s="46">
        <f t="shared" si="0"/>
        <v>138.33333333333343</v>
      </c>
      <c r="N14" s="46">
        <f t="shared" si="0"/>
        <v>3207.3333333333335</v>
      </c>
      <c r="O14" s="47"/>
      <c r="P14" s="46">
        <f>SUM(P11:P13)</f>
        <v>255.75</v>
      </c>
      <c r="Q14" s="46">
        <f t="shared" ref="Q14:V14" si="1">SUM(Q11:Q13)</f>
        <v>557.64650700000016</v>
      </c>
      <c r="R14" s="46">
        <f t="shared" si="1"/>
        <v>298.30679999999995</v>
      </c>
      <c r="S14" s="46">
        <f t="shared" si="1"/>
        <v>0</v>
      </c>
      <c r="T14" s="46">
        <f t="shared" si="1"/>
        <v>349.41568562999998</v>
      </c>
      <c r="U14" s="46">
        <f t="shared" si="1"/>
        <v>8.58</v>
      </c>
      <c r="V14" s="46">
        <f t="shared" si="1"/>
        <v>20.34</v>
      </c>
      <c r="W14" s="48"/>
      <c r="X14" s="49">
        <f>SUM(X11:X13)</f>
        <v>4697.3723259633334</v>
      </c>
      <c r="Y14" s="26"/>
      <c r="Z14" s="48"/>
      <c r="AA14" s="26"/>
      <c r="AB14" s="50">
        <f>SUM(AB11:AB13)</f>
        <v>4697.3723259633334</v>
      </c>
      <c r="AC14" s="10"/>
      <c r="AD14" s="51"/>
    </row>
    <row r="15" spans="1:37" ht="15.75" customHeight="1" thickTop="1" x14ac:dyDescent="0.25">
      <c r="A15" s="10"/>
      <c r="B15" s="10"/>
      <c r="C15" s="16"/>
      <c r="D15" s="1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41"/>
      <c r="AC15" s="10"/>
      <c r="AD15" s="51"/>
    </row>
    <row r="16" spans="1:37" ht="15" hidden="1" customHeight="1" x14ac:dyDescent="0.25">
      <c r="A16" s="19" t="s">
        <v>31</v>
      </c>
      <c r="B16" s="52" t="s">
        <v>32</v>
      </c>
      <c r="C16" s="53"/>
      <c r="D16" s="53"/>
      <c r="E16" s="54"/>
      <c r="F16" s="10"/>
      <c r="G16" s="142" t="s">
        <v>33</v>
      </c>
      <c r="H16" s="10"/>
      <c r="I16" s="10"/>
      <c r="J16" s="10"/>
      <c r="K16" s="55"/>
      <c r="L16" s="56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ht="15" hidden="1" customHeight="1" x14ac:dyDescent="0.25">
      <c r="A17" s="19"/>
      <c r="B17" s="57"/>
      <c r="C17" s="58" t="s">
        <v>34</v>
      </c>
      <c r="D17" s="59" t="s">
        <v>35</v>
      </c>
      <c r="E17" s="60"/>
      <c r="F17" s="10"/>
      <c r="G17" s="143"/>
      <c r="H17" s="61"/>
      <c r="I17" s="61"/>
      <c r="J17" s="62"/>
      <c r="K17" s="61"/>
      <c r="L17" s="10"/>
      <c r="M17" s="10"/>
      <c r="N17" s="63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ht="15" hidden="1" customHeight="1" x14ac:dyDescent="0.25">
      <c r="A18" s="10"/>
      <c r="B18" s="64"/>
      <c r="C18" s="65">
        <v>16</v>
      </c>
      <c r="D18" s="65" t="s">
        <v>36</v>
      </c>
      <c r="E18" s="66"/>
      <c r="F18" s="10"/>
      <c r="G18" s="40">
        <v>0</v>
      </c>
      <c r="H18" s="1"/>
      <c r="I18" s="64"/>
      <c r="J18" s="64"/>
      <c r="K18" s="10"/>
      <c r="L18" s="67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68"/>
      <c r="Y18" s="10"/>
      <c r="Z18" s="10"/>
      <c r="AA18" s="10"/>
      <c r="AB18" s="10"/>
      <c r="AC18" s="10"/>
    </row>
    <row r="19" spans="1:29" ht="18" hidden="1" x14ac:dyDescent="0.25">
      <c r="A19" s="10"/>
      <c r="B19" s="10" t="s">
        <v>37</v>
      </c>
      <c r="C19" s="16"/>
      <c r="D19" s="16"/>
      <c r="E19" s="69"/>
      <c r="F19" s="10"/>
      <c r="G19" s="47">
        <f>SUM(G18:G18)</f>
        <v>0</v>
      </c>
      <c r="H19" s="61"/>
      <c r="I19" s="10"/>
      <c r="J19" s="1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10"/>
    </row>
    <row r="20" spans="1:29" ht="18" x14ac:dyDescent="0.25">
      <c r="A20" s="10"/>
      <c r="B20" s="10"/>
      <c r="C20" s="10"/>
      <c r="D20" s="16"/>
      <c r="E20" s="16"/>
      <c r="F20" s="69"/>
      <c r="G20" s="10"/>
      <c r="H20" s="47"/>
      <c r="I20" s="61"/>
      <c r="J20" s="10"/>
      <c r="K20" s="1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10"/>
      <c r="W20" s="10"/>
      <c r="X20" s="10"/>
      <c r="Y20" s="10"/>
      <c r="Z20" s="10"/>
      <c r="AA20" s="10"/>
      <c r="AB20" s="10"/>
      <c r="AC20" s="10"/>
    </row>
    <row r="21" spans="1:29" ht="18" x14ac:dyDescent="0.25">
      <c r="A21" s="10"/>
      <c r="D21" s="14"/>
      <c r="U21" s="70"/>
      <c r="V21" s="70"/>
      <c r="W21" s="70"/>
      <c r="X21" s="70"/>
      <c r="Y21" s="70"/>
      <c r="Z21" s="70"/>
      <c r="AA21" s="70"/>
      <c r="AB21" s="70"/>
      <c r="AC21" s="10"/>
    </row>
    <row r="22" spans="1:29" ht="18" x14ac:dyDescent="0.25">
      <c r="A22" s="19" t="s">
        <v>31</v>
      </c>
      <c r="B22" s="71" t="s">
        <v>32</v>
      </c>
      <c r="C22" s="72"/>
      <c r="D22" s="73"/>
      <c r="E22" s="74"/>
      <c r="F22" s="10"/>
      <c r="G22" s="75" t="s">
        <v>33</v>
      </c>
      <c r="H22" s="61"/>
      <c r="I22" s="3"/>
      <c r="J22" s="3"/>
      <c r="K22" s="55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10"/>
    </row>
    <row r="23" spans="1:29" ht="18" x14ac:dyDescent="0.25">
      <c r="A23" s="19"/>
      <c r="B23" s="147" t="s">
        <v>61</v>
      </c>
      <c r="C23" s="148"/>
      <c r="D23" s="148"/>
      <c r="E23" s="149"/>
      <c r="F23" s="10"/>
      <c r="G23" s="77">
        <f>1800*3.4/36</f>
        <v>170</v>
      </c>
      <c r="H23" s="61"/>
      <c r="I23" s="3"/>
      <c r="J23" s="3"/>
      <c r="K23" s="55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10"/>
    </row>
    <row r="24" spans="1:29" ht="18" x14ac:dyDescent="0.25">
      <c r="A24" s="19"/>
      <c r="B24" s="147" t="s">
        <v>62</v>
      </c>
      <c r="C24" s="148"/>
      <c r="D24" s="148"/>
      <c r="E24" s="149"/>
      <c r="F24" s="10"/>
      <c r="G24" s="77">
        <f>1510.69/12</f>
        <v>125.89083333333333</v>
      </c>
      <c r="H24" s="61"/>
      <c r="I24" s="3"/>
      <c r="J24" s="3"/>
      <c r="K24" s="55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10"/>
    </row>
    <row r="25" spans="1:29" ht="18" x14ac:dyDescent="0.25">
      <c r="A25" s="10"/>
      <c r="B25" s="147" t="s">
        <v>38</v>
      </c>
      <c r="C25" s="148"/>
      <c r="D25" s="148"/>
      <c r="E25" s="149"/>
      <c r="F25" s="10"/>
      <c r="G25" s="77">
        <f>[3]Materiales!F36</f>
        <v>376.18333333333328</v>
      </c>
      <c r="H25" s="61"/>
      <c r="I25" s="10"/>
      <c r="J25" s="1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10"/>
    </row>
    <row r="26" spans="1:29" ht="18" x14ac:dyDescent="0.25">
      <c r="A26" s="10"/>
      <c r="B26" s="10"/>
      <c r="C26" s="16"/>
      <c r="D26" s="16"/>
      <c r="E26" s="69"/>
      <c r="F26" s="10"/>
      <c r="G26" s="47">
        <f>SUM(G23:G25)</f>
        <v>672.07416666666654</v>
      </c>
      <c r="H26" s="61"/>
      <c r="I26" s="10"/>
      <c r="J26" s="1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10"/>
    </row>
    <row r="27" spans="1:29" ht="18" x14ac:dyDescent="0.25">
      <c r="A27" s="10"/>
      <c r="B27" s="10"/>
      <c r="C27" s="16"/>
      <c r="D27" s="16"/>
      <c r="E27" s="69"/>
      <c r="F27" s="10"/>
      <c r="G27" s="47"/>
      <c r="H27" s="61"/>
      <c r="I27" s="10"/>
      <c r="J27" s="10"/>
      <c r="K27" s="70"/>
      <c r="L27" s="70"/>
      <c r="M27" s="70"/>
      <c r="N27" s="70"/>
      <c r="O27" s="70"/>
      <c r="P27" s="70"/>
      <c r="Q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10"/>
    </row>
    <row r="28" spans="1:29" ht="16.5" customHeight="1" x14ac:dyDescent="0.25">
      <c r="A28" s="10"/>
      <c r="B28" s="10"/>
      <c r="C28" s="16"/>
      <c r="D28" s="16"/>
      <c r="E28" s="69"/>
      <c r="F28" s="10"/>
      <c r="G28" s="81"/>
      <c r="H28" s="61"/>
      <c r="I28" s="26"/>
      <c r="J28" s="26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10"/>
    </row>
    <row r="29" spans="1:29" ht="16.5" customHeight="1" x14ac:dyDescent="0.25">
      <c r="A29" s="10"/>
      <c r="B29" s="10"/>
      <c r="C29" s="16"/>
      <c r="D29" s="16"/>
      <c r="E29" s="69"/>
      <c r="F29" s="10"/>
      <c r="G29" s="81"/>
      <c r="H29" s="61"/>
      <c r="I29" s="26"/>
      <c r="J29" s="26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10"/>
    </row>
    <row r="30" spans="1:29" ht="18" x14ac:dyDescent="0.25">
      <c r="A30" s="19" t="s">
        <v>31</v>
      </c>
      <c r="B30" s="82" t="s">
        <v>40</v>
      </c>
      <c r="C30" s="72"/>
      <c r="D30" s="72"/>
      <c r="E30" s="74"/>
      <c r="F30" s="10"/>
      <c r="G30" s="75" t="s">
        <v>33</v>
      </c>
      <c r="H30" s="61"/>
      <c r="I30" s="83"/>
      <c r="J30" s="83"/>
      <c r="K30" s="55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10"/>
    </row>
    <row r="31" spans="1:29" ht="15.75" customHeight="1" x14ac:dyDescent="0.25">
      <c r="A31" s="19"/>
      <c r="B31" s="84"/>
      <c r="C31" s="85">
        <v>1</v>
      </c>
      <c r="D31" s="144" t="s">
        <v>41</v>
      </c>
      <c r="E31" s="145"/>
      <c r="F31" s="10"/>
      <c r="G31" s="77">
        <f>((AB14+G26)*(0.2/365)*30)</f>
        <v>88.264873851452052</v>
      </c>
      <c r="H31" s="61"/>
      <c r="I31" s="83"/>
      <c r="J31" s="83"/>
      <c r="K31" s="5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10"/>
    </row>
    <row r="32" spans="1:29" ht="15.75" customHeight="1" x14ac:dyDescent="0.25">
      <c r="A32" s="19"/>
      <c r="B32" s="84"/>
      <c r="C32" s="86">
        <v>1</v>
      </c>
      <c r="D32" s="146" t="s">
        <v>42</v>
      </c>
      <c r="E32" s="146"/>
      <c r="F32" s="10"/>
      <c r="G32" s="77">
        <f>[3]CAdmL!E22+[3]CAdmL!H22</f>
        <v>303.70833333333331</v>
      </c>
      <c r="H32" s="87"/>
      <c r="I32" s="83"/>
      <c r="J32" s="83"/>
      <c r="K32" s="55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10"/>
    </row>
    <row r="33" spans="1:37" ht="15.75" customHeight="1" x14ac:dyDescent="0.25">
      <c r="A33" s="19"/>
      <c r="B33" s="84"/>
      <c r="C33" s="16"/>
      <c r="D33" s="16"/>
      <c r="E33" s="84"/>
      <c r="F33" s="10"/>
      <c r="G33" s="47">
        <f>SUM(G31:G32)</f>
        <v>391.97320718478534</v>
      </c>
      <c r="H33" s="88"/>
      <c r="I33" s="83">
        <f>G33/G37</f>
        <v>6.3583303987465645E-2</v>
      </c>
      <c r="J33" s="83"/>
      <c r="K33" s="55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10"/>
    </row>
    <row r="34" spans="1:37" ht="15.75" customHeight="1" x14ac:dyDescent="0.25">
      <c r="A34" s="19"/>
      <c r="B34" s="89"/>
      <c r="C34" s="16"/>
      <c r="D34" s="16"/>
      <c r="E34" s="89"/>
      <c r="F34" s="10"/>
      <c r="G34" s="81"/>
      <c r="H34" s="88"/>
      <c r="I34" s="83"/>
      <c r="J34" s="83"/>
      <c r="K34" s="55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10"/>
    </row>
    <row r="35" spans="1:37" ht="15.75" customHeight="1" x14ac:dyDescent="0.25">
      <c r="A35" s="19" t="s">
        <v>43</v>
      </c>
      <c r="B35" s="90" t="s">
        <v>44</v>
      </c>
      <c r="C35" s="91">
        <f>[3]Propuesta!U42</f>
        <v>6.5420560747663559E-2</v>
      </c>
      <c r="D35" s="92"/>
      <c r="E35" s="93"/>
      <c r="F35" s="10"/>
      <c r="G35" s="94">
        <f>(AB14+G26+G33)*H35</f>
        <v>403.29937898703503</v>
      </c>
      <c r="H35" s="88">
        <v>7.0000000000000007E-2</v>
      </c>
      <c r="I35" s="83">
        <f>G35/G37</f>
        <v>6.5420560747663559E-2</v>
      </c>
      <c r="J35" s="83"/>
      <c r="K35" s="55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10"/>
    </row>
    <row r="36" spans="1:37" ht="18" x14ac:dyDescent="0.25">
      <c r="A36" s="10"/>
      <c r="B36" s="10"/>
      <c r="C36" s="16"/>
      <c r="D36" s="16"/>
      <c r="E36" s="10"/>
      <c r="F36" s="10"/>
      <c r="G36" s="41"/>
      <c r="H36" s="95"/>
      <c r="I36" s="83"/>
      <c r="J36" s="83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10"/>
    </row>
    <row r="37" spans="1:37" ht="17.25" customHeight="1" x14ac:dyDescent="0.25">
      <c r="A37" s="10"/>
      <c r="B37" s="156" t="s">
        <v>45</v>
      </c>
      <c r="C37" s="156"/>
      <c r="D37" s="156"/>
      <c r="E37" s="156"/>
      <c r="F37" s="2"/>
      <c r="G37" s="96">
        <f>AB14+G26+G33+G35</f>
        <v>6164.7190788018206</v>
      </c>
      <c r="H37" s="112"/>
      <c r="I37" s="113"/>
      <c r="J37" s="113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16"/>
    </row>
    <row r="38" spans="1:37" ht="18.75" thickBot="1" x14ac:dyDescent="0.3">
      <c r="A38" s="10"/>
      <c r="B38" s="10"/>
      <c r="C38" s="16"/>
      <c r="D38" s="16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 ht="18" customHeight="1" thickBot="1" x14ac:dyDescent="0.3">
      <c r="A39" s="10"/>
      <c r="B39" s="157" t="s">
        <v>46</v>
      </c>
      <c r="C39" s="158"/>
      <c r="D39" s="158"/>
      <c r="E39" s="158"/>
      <c r="F39" s="158"/>
      <c r="G39" s="15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spans="1:37" ht="18" x14ac:dyDescent="0.25">
      <c r="A40" s="10"/>
      <c r="B40" s="150" t="s">
        <v>47</v>
      </c>
      <c r="C40" s="151"/>
      <c r="D40" s="151"/>
      <c r="E40" s="151"/>
      <c r="F40" s="151"/>
      <c r="G40" s="152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spans="1:37" ht="18" x14ac:dyDescent="0.25">
      <c r="A41" s="10"/>
      <c r="B41" s="100" t="s">
        <v>48</v>
      </c>
      <c r="C41" s="69"/>
      <c r="D41" s="69"/>
      <c r="E41" s="69"/>
      <c r="F41" s="69"/>
      <c r="G41" s="10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spans="1:37" ht="18" x14ac:dyDescent="0.25">
      <c r="A42" s="10"/>
      <c r="B42" s="102" t="s">
        <v>49</v>
      </c>
      <c r="C42" s="16"/>
      <c r="D42" s="16"/>
      <c r="E42" s="10"/>
      <c r="F42" s="10"/>
      <c r="G42" s="103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7" ht="18.75" thickBot="1" x14ac:dyDescent="0.3">
      <c r="A43" s="10"/>
      <c r="B43" s="104" t="s">
        <v>50</v>
      </c>
      <c r="C43" s="105"/>
      <c r="D43" s="105"/>
      <c r="E43" s="106"/>
      <c r="F43" s="106"/>
      <c r="G43" s="107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7" ht="18" x14ac:dyDescent="0.25">
      <c r="A44" s="10"/>
      <c r="B44" s="10"/>
      <c r="C44" s="16"/>
      <c r="D44" s="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7" ht="18" x14ac:dyDescent="0.25">
      <c r="A45" s="10"/>
      <c r="B45" s="10"/>
      <c r="C45" s="16"/>
      <c r="D45" s="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8" x14ac:dyDescent="0.25">
      <c r="A46" s="10"/>
      <c r="B46" s="10"/>
      <c r="C46" s="16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spans="1:37" ht="18" x14ac:dyDescent="0.25">
      <c r="A47" s="10"/>
      <c r="B47" s="10"/>
      <c r="C47" s="16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 t="s">
        <v>51</v>
      </c>
      <c r="AF47" s="10"/>
      <c r="AG47" s="10"/>
      <c r="AH47" s="10"/>
      <c r="AI47" s="10"/>
      <c r="AJ47" s="10"/>
      <c r="AK47" s="10"/>
    </row>
    <row r="48" spans="1:37" ht="18" x14ac:dyDescent="0.25">
      <c r="A48" s="10"/>
      <c r="B48" s="10"/>
      <c r="C48" s="16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ht="18" x14ac:dyDescent="0.25">
      <c r="A49" s="10"/>
      <c r="B49" s="10"/>
      <c r="C49" s="16"/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ht="18" x14ac:dyDescent="0.25">
      <c r="A50" s="10"/>
      <c r="B50" s="10"/>
      <c r="C50" s="16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ht="18" x14ac:dyDescent="0.25">
      <c r="A51" s="10"/>
      <c r="B51" s="10"/>
      <c r="C51" s="16"/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ht="18" x14ac:dyDescent="0.25">
      <c r="A52" s="10"/>
      <c r="B52" s="10"/>
      <c r="C52" s="16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ht="18" x14ac:dyDescent="0.25">
      <c r="A53" s="10"/>
      <c r="B53" s="10"/>
      <c r="C53" s="16"/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ht="14.25" customHeight="1" x14ac:dyDescent="0.25">
      <c r="A54" s="10"/>
      <c r="B54" s="10"/>
      <c r="C54" s="16"/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 ht="10.5" customHeight="1" x14ac:dyDescent="0.25">
      <c r="A55" s="10"/>
      <c r="B55" s="10"/>
      <c r="C55" s="16"/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ht="18" x14ac:dyDescent="0.25">
      <c r="A56" s="10"/>
      <c r="B56" s="10"/>
      <c r="C56" s="16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 ht="18" x14ac:dyDescent="0.25">
      <c r="A57" s="10"/>
      <c r="B57" s="10"/>
      <c r="C57" s="16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 ht="18" x14ac:dyDescent="0.25">
      <c r="A58" s="10"/>
      <c r="B58" s="10"/>
      <c r="C58" s="16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 ht="18" x14ac:dyDescent="0.25">
      <c r="A59" s="10"/>
      <c r="B59" s="10"/>
      <c r="C59" s="16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 ht="7.5" customHeight="1" x14ac:dyDescent="0.25">
      <c r="A60" s="10"/>
      <c r="B60" s="109"/>
      <c r="C60" s="16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51" customHeight="1" x14ac:dyDescent="0.25">
      <c r="A61" s="10"/>
      <c r="B61" s="10"/>
      <c r="C61" s="16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ht="165.75" customHeight="1" x14ac:dyDescent="0.25">
      <c r="A62" s="10"/>
      <c r="B62" s="10"/>
      <c r="C62" s="16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ht="18" x14ac:dyDescent="0.25">
      <c r="A63" s="10"/>
      <c r="B63" s="10"/>
      <c r="C63" s="16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spans="1:37" ht="18" x14ac:dyDescent="0.25">
      <c r="A64" s="10"/>
      <c r="B64" s="10" t="s">
        <v>53</v>
      </c>
      <c r="C64" s="16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spans="1:37" ht="18" x14ac:dyDescent="0.25">
      <c r="A65" s="10"/>
      <c r="B65" s="10"/>
      <c r="C65" s="16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spans="1:37" ht="18" x14ac:dyDescent="0.25">
      <c r="A66" s="10"/>
      <c r="B66" s="10"/>
      <c r="C66" s="16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spans="1:37" ht="18" x14ac:dyDescent="0.25">
      <c r="A67" s="10"/>
      <c r="B67" s="10"/>
      <c r="C67" s="16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spans="1:37" ht="18" x14ac:dyDescent="0.25">
      <c r="A68" s="10"/>
      <c r="B68" s="10"/>
      <c r="C68" s="16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ht="18" x14ac:dyDescent="0.25">
      <c r="A69" s="10"/>
      <c r="B69" s="10"/>
      <c r="C69" s="16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spans="1:37" ht="18" x14ac:dyDescent="0.25">
      <c r="A70" s="10"/>
      <c r="B70" s="10"/>
      <c r="C70" s="16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8" x14ac:dyDescent="0.25">
      <c r="A71" s="10"/>
      <c r="B71" s="10"/>
      <c r="C71" s="16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8" x14ac:dyDescent="0.25">
      <c r="A72" s="10"/>
      <c r="B72" s="10"/>
      <c r="C72" s="16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8" x14ac:dyDescent="0.25">
      <c r="A73" s="10"/>
      <c r="B73" s="10"/>
      <c r="C73" s="16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87.5" customHeight="1" x14ac:dyDescent="0.25">
      <c r="A74" s="10"/>
      <c r="B74" s="10"/>
      <c r="C74" s="16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ht="18" x14ac:dyDescent="0.25">
      <c r="A75" s="10"/>
      <c r="B75" s="10"/>
      <c r="C75" s="16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ht="18" x14ac:dyDescent="0.25">
      <c r="A76" s="10"/>
      <c r="B76" s="10"/>
      <c r="C76" s="16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8" x14ac:dyDescent="0.25">
      <c r="A77" s="10"/>
      <c r="B77" s="10"/>
      <c r="C77" s="16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spans="1:37" ht="139.5" customHeight="1" x14ac:dyDescent="0.25">
      <c r="A78" s="10"/>
      <c r="B78" s="10"/>
      <c r="C78" s="16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spans="1:37" ht="18" x14ac:dyDescent="0.25">
      <c r="A79" s="10"/>
      <c r="B79" s="10"/>
      <c r="C79" s="16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spans="1:37" ht="18" x14ac:dyDescent="0.25">
      <c r="A80" s="10"/>
      <c r="B80" s="10"/>
      <c r="C80" s="16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spans="1:37" ht="18" x14ac:dyDescent="0.25">
      <c r="A81" s="10"/>
      <c r="B81" s="10"/>
      <c r="C81" s="16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ht="18" x14ac:dyDescent="0.25">
      <c r="A82" s="10"/>
      <c r="B82" s="10"/>
      <c r="C82" s="16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spans="1:37" ht="18" x14ac:dyDescent="0.25">
      <c r="A83" s="10"/>
      <c r="B83" s="10"/>
      <c r="C83" s="16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spans="1:37" ht="18" x14ac:dyDescent="0.25">
      <c r="A84" s="10"/>
      <c r="B84" s="10"/>
      <c r="C84" s="16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spans="1:37" ht="18" x14ac:dyDescent="0.25">
      <c r="A85" s="10"/>
      <c r="B85" s="10"/>
      <c r="C85" s="16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ht="18" x14ac:dyDescent="0.25">
      <c r="A86" s="10"/>
      <c r="B86" s="10"/>
      <c r="C86" s="16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spans="1:37" ht="18" x14ac:dyDescent="0.25">
      <c r="A87" s="10"/>
      <c r="B87" s="10"/>
      <c r="C87" s="16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spans="1:37" ht="18" x14ac:dyDescent="0.25">
      <c r="A88" s="10"/>
      <c r="B88" s="10"/>
      <c r="C88" s="16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spans="1:37" ht="18" x14ac:dyDescent="0.25">
      <c r="A89" s="10"/>
      <c r="B89" s="10"/>
      <c r="C89" s="16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spans="1:37" ht="18" x14ac:dyDescent="0.25">
      <c r="A90" s="10"/>
      <c r="B90" s="10"/>
      <c r="C90" s="16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spans="1:37" ht="18" x14ac:dyDescent="0.25">
      <c r="A91" s="10"/>
      <c r="B91" s="10"/>
      <c r="C91" s="16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spans="1:37" ht="18" x14ac:dyDescent="0.25">
      <c r="A92" s="10"/>
      <c r="B92" s="10"/>
      <c r="C92" s="16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spans="1:37" ht="18" x14ac:dyDescent="0.25">
      <c r="A93" s="10"/>
      <c r="B93" s="10"/>
      <c r="C93" s="16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spans="1:37" ht="18" x14ac:dyDescent="0.25">
      <c r="A94" s="10"/>
      <c r="B94" s="10"/>
      <c r="C94" s="16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spans="1:37" ht="18" x14ac:dyDescent="0.25">
      <c r="A95" s="10"/>
      <c r="B95" s="10"/>
      <c r="C95" s="16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spans="1:37" ht="18" x14ac:dyDescent="0.25">
      <c r="A96" s="10"/>
      <c r="B96" s="10"/>
      <c r="C96" s="16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spans="1:37" ht="18" x14ac:dyDescent="0.25">
      <c r="A97" s="10"/>
      <c r="B97" s="10"/>
      <c r="C97" s="16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spans="1:37" ht="18" x14ac:dyDescent="0.25">
      <c r="A98" s="10"/>
      <c r="B98" s="10"/>
      <c r="C98" s="16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spans="1:37" ht="18" x14ac:dyDescent="0.25">
      <c r="A99" s="10"/>
      <c r="B99" s="10"/>
      <c r="C99" s="16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spans="1:37" ht="18" x14ac:dyDescent="0.25">
      <c r="A100" s="10"/>
      <c r="B100" s="10"/>
      <c r="C100" s="16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spans="1:37" ht="23.25" customHeight="1" x14ac:dyDescent="0.25">
      <c r="A101" s="10"/>
      <c r="B101" s="10"/>
      <c r="C101" s="16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spans="1:37" ht="18" x14ac:dyDescent="0.25">
      <c r="A102" s="10"/>
      <c r="B102" s="10"/>
      <c r="C102" s="16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spans="1:37" ht="18" x14ac:dyDescent="0.25">
      <c r="A103" s="10"/>
      <c r="B103" s="10"/>
      <c r="C103" s="16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spans="1:37" ht="18" x14ac:dyDescent="0.25">
      <c r="A104" s="10"/>
      <c r="B104" s="10"/>
      <c r="C104" s="16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spans="1:37" ht="18" x14ac:dyDescent="0.25">
      <c r="A105" s="10"/>
      <c r="B105" s="10"/>
      <c r="C105" s="16"/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spans="1:37" ht="18" x14ac:dyDescent="0.25">
      <c r="A106" s="10"/>
      <c r="B106" s="10"/>
      <c r="C106" s="16"/>
      <c r="D106" s="16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spans="1:37" ht="18" x14ac:dyDescent="0.25">
      <c r="A107" s="10"/>
      <c r="B107" s="69"/>
      <c r="C107" s="69"/>
      <c r="D107" s="69"/>
      <c r="E107" s="69"/>
      <c r="F107" s="69"/>
      <c r="G107" s="69"/>
      <c r="H107" s="69"/>
      <c r="I107" s="6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spans="1:37" ht="18" x14ac:dyDescent="0.25">
      <c r="A108" s="10"/>
      <c r="B108" s="69"/>
      <c r="C108" s="69"/>
      <c r="D108" s="69"/>
      <c r="E108" s="69"/>
      <c r="F108" s="69"/>
      <c r="G108" s="69"/>
      <c r="H108" s="69"/>
      <c r="I108" s="6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spans="1:37" ht="18" x14ac:dyDescent="0.25">
      <c r="A109" s="10"/>
      <c r="B109" s="10"/>
      <c r="C109" s="16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spans="1:37" ht="18" x14ac:dyDescent="0.25">
      <c r="A110" s="10"/>
      <c r="B110" s="10"/>
      <c r="C110" s="16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spans="1:37" ht="18" x14ac:dyDescent="0.25">
      <c r="A111" s="10"/>
      <c r="B111" s="10"/>
      <c r="C111" s="16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spans="1:37" ht="18" x14ac:dyDescent="0.25">
      <c r="A112" s="10"/>
      <c r="B112" s="10"/>
      <c r="C112" s="16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spans="1:37" ht="18" x14ac:dyDescent="0.25">
      <c r="A113" s="10"/>
      <c r="B113" s="10"/>
      <c r="C113" s="16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spans="1:37" ht="18" x14ac:dyDescent="0.25">
      <c r="A114" s="10"/>
      <c r="B114" s="10"/>
      <c r="C114" s="16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spans="1:37" ht="18" x14ac:dyDescent="0.25">
      <c r="A115" s="10"/>
      <c r="B115" s="10"/>
      <c r="C115" s="16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spans="1:37" ht="18" x14ac:dyDescent="0.25">
      <c r="A116" s="10"/>
      <c r="B116" s="10"/>
      <c r="C116" s="16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spans="1:37" ht="18" x14ac:dyDescent="0.25">
      <c r="A117" s="10"/>
      <c r="B117" s="10"/>
      <c r="C117" s="16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spans="1:37" ht="18" x14ac:dyDescent="0.25">
      <c r="A118" s="10"/>
      <c r="B118" s="10"/>
      <c r="C118" s="16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spans="1:37" ht="18" x14ac:dyDescent="0.25">
      <c r="A119" s="10"/>
      <c r="B119" s="10"/>
      <c r="C119" s="16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spans="1:37" ht="18" x14ac:dyDescent="0.25">
      <c r="A120" s="10"/>
      <c r="B120" s="10"/>
      <c r="C120" s="16"/>
      <c r="D120" s="16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spans="1:37" ht="18" x14ac:dyDescent="0.25">
      <c r="A121" s="10"/>
      <c r="B121" s="10"/>
      <c r="C121" s="16"/>
      <c r="D121" s="16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spans="1:37" ht="18" x14ac:dyDescent="0.25">
      <c r="A122" s="10"/>
      <c r="B122" s="10"/>
      <c r="C122" s="16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spans="1:37" ht="18" x14ac:dyDescent="0.25">
      <c r="A123" s="10"/>
      <c r="B123" s="10"/>
      <c r="C123" s="16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spans="1:37" ht="18" x14ac:dyDescent="0.25">
      <c r="A124" s="10"/>
      <c r="B124" s="10"/>
      <c r="C124" s="16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spans="1:37" ht="18" x14ac:dyDescent="0.25">
      <c r="A125" s="10"/>
      <c r="B125" s="10"/>
      <c r="C125" s="16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spans="1:37" ht="18" x14ac:dyDescent="0.25">
      <c r="A126" s="10"/>
      <c r="B126" s="10"/>
      <c r="C126" s="16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spans="1:37" ht="18" x14ac:dyDescent="0.25">
      <c r="A127" s="10"/>
      <c r="B127" s="10"/>
      <c r="C127" s="16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spans="1:37" ht="18" x14ac:dyDescent="0.25">
      <c r="A128" s="10"/>
      <c r="B128" s="10"/>
      <c r="C128" s="16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spans="1:37" ht="18" x14ac:dyDescent="0.25">
      <c r="A129" s="10"/>
      <c r="B129" s="10"/>
      <c r="C129" s="16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spans="1:37" ht="18" x14ac:dyDescent="0.25">
      <c r="A130" s="10"/>
      <c r="B130" s="10"/>
      <c r="C130" s="16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spans="1:37" ht="18" x14ac:dyDescent="0.25">
      <c r="A131" s="10"/>
      <c r="B131" s="10"/>
      <c r="C131" s="16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spans="1:37" ht="18" x14ac:dyDescent="0.25">
      <c r="A132" s="10"/>
      <c r="B132" s="10"/>
      <c r="C132" s="16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spans="1:37" ht="18" x14ac:dyDescent="0.25">
      <c r="A133" s="10"/>
      <c r="B133" s="10"/>
      <c r="C133" s="16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spans="1:37" ht="18" x14ac:dyDescent="0.25">
      <c r="A134" s="10"/>
      <c r="B134" s="10"/>
      <c r="C134" s="16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spans="1:37" ht="18" x14ac:dyDescent="0.25">
      <c r="A135" s="10"/>
      <c r="B135" s="10"/>
      <c r="C135" s="16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spans="1:37" ht="18" x14ac:dyDescent="0.25">
      <c r="A136" s="10"/>
      <c r="B136" s="10"/>
      <c r="C136" s="16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spans="1:37" ht="18" x14ac:dyDescent="0.25">
      <c r="A137" s="10"/>
      <c r="B137" s="10"/>
      <c r="C137" s="16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spans="1:37" ht="18" x14ac:dyDescent="0.25">
      <c r="A138" s="10"/>
      <c r="B138" s="10"/>
      <c r="C138" s="16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spans="1:37" ht="18" x14ac:dyDescent="0.25">
      <c r="A139" s="10"/>
      <c r="B139" s="10"/>
      <c r="C139" s="16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spans="1:37" ht="18" x14ac:dyDescent="0.25">
      <c r="A140" s="10"/>
      <c r="B140" s="10"/>
      <c r="C140" s="16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spans="1:37" ht="18" x14ac:dyDescent="0.25">
      <c r="A141" s="10"/>
      <c r="B141" s="10"/>
      <c r="C141" s="16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spans="1:37" ht="18" x14ac:dyDescent="0.25">
      <c r="A142" s="10"/>
      <c r="B142" s="10"/>
      <c r="C142" s="16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spans="1:37" ht="18" x14ac:dyDescent="0.25">
      <c r="A143" s="10"/>
      <c r="B143" s="10"/>
      <c r="C143" s="16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spans="1:37" ht="18" x14ac:dyDescent="0.25">
      <c r="A144" s="10"/>
      <c r="B144" s="10"/>
      <c r="C144" s="16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spans="1:37" ht="18" x14ac:dyDescent="0.25">
      <c r="A145" s="10"/>
      <c r="B145" s="10"/>
      <c r="C145" s="16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spans="1:37" ht="18" x14ac:dyDescent="0.25">
      <c r="A146" s="10"/>
      <c r="B146" s="10"/>
      <c r="C146" s="16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spans="1:37" ht="18" x14ac:dyDescent="0.25">
      <c r="A147" s="10"/>
      <c r="B147" s="10"/>
      <c r="C147" s="16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spans="1:37" ht="18" x14ac:dyDescent="0.25">
      <c r="A148" s="10"/>
      <c r="B148" s="10"/>
      <c r="C148" s="16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spans="1:37" ht="18" x14ac:dyDescent="0.25">
      <c r="A149" s="10"/>
      <c r="B149" s="10"/>
      <c r="C149" s="16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spans="1:37" ht="18" x14ac:dyDescent="0.25">
      <c r="A150" s="10"/>
      <c r="B150" s="10"/>
      <c r="C150" s="16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spans="1:37" ht="18" x14ac:dyDescent="0.25">
      <c r="A151" s="10"/>
      <c r="B151" s="10"/>
      <c r="C151" s="16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spans="1:37" ht="18" x14ac:dyDescent="0.25">
      <c r="A152" s="10"/>
      <c r="B152" s="10"/>
      <c r="C152" s="16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spans="1:37" ht="18" x14ac:dyDescent="0.25">
      <c r="A153" s="10"/>
      <c r="B153" s="10"/>
      <c r="C153" s="16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spans="1:37" ht="18" x14ac:dyDescent="0.25">
      <c r="A154" s="10"/>
      <c r="B154" s="10"/>
      <c r="C154" s="16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spans="1:37" ht="18" x14ac:dyDescent="0.25">
      <c r="A155" s="10"/>
      <c r="B155" s="10"/>
      <c r="C155" s="16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spans="1:37" ht="18" x14ac:dyDescent="0.25">
      <c r="A156" s="10"/>
      <c r="B156" s="10"/>
      <c r="C156" s="16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spans="1:37" ht="18" x14ac:dyDescent="0.25">
      <c r="A157" s="10"/>
      <c r="B157" s="10"/>
      <c r="C157" s="16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spans="1:37" ht="18" x14ac:dyDescent="0.25">
      <c r="A158" s="10"/>
      <c r="B158" s="10"/>
      <c r="C158" s="16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spans="1:37" ht="18" x14ac:dyDescent="0.25">
      <c r="A159" s="10"/>
      <c r="B159" s="10"/>
      <c r="C159" s="16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spans="1:37" ht="18" x14ac:dyDescent="0.25">
      <c r="A160" s="10"/>
      <c r="B160" s="10"/>
      <c r="C160" s="16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spans="1:37" ht="18" x14ac:dyDescent="0.25">
      <c r="A161" s="10"/>
      <c r="B161" s="10"/>
      <c r="C161" s="16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spans="1:37" ht="18" x14ac:dyDescent="0.25">
      <c r="A162" s="10"/>
      <c r="B162" s="10"/>
      <c r="C162" s="16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spans="1:37" ht="18" x14ac:dyDescent="0.25">
      <c r="A163" s="10"/>
      <c r="B163" s="10"/>
      <c r="C163" s="16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spans="1:37" ht="18" x14ac:dyDescent="0.25">
      <c r="A164" s="10"/>
      <c r="B164" s="10"/>
      <c r="C164" s="16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spans="1:37" ht="18" x14ac:dyDescent="0.25">
      <c r="A165" s="10"/>
      <c r="B165" s="10"/>
      <c r="C165" s="16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spans="1:37" ht="18" x14ac:dyDescent="0.25">
      <c r="A166" s="10"/>
      <c r="B166" s="10"/>
      <c r="C166" s="16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spans="1:37" ht="18" x14ac:dyDescent="0.25">
      <c r="A167" s="10"/>
      <c r="B167" s="10"/>
      <c r="C167" s="16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spans="1:37" ht="18" x14ac:dyDescent="0.25">
      <c r="A168" s="10"/>
      <c r="B168" s="10"/>
      <c r="C168" s="16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spans="1:37" ht="18" x14ac:dyDescent="0.25">
      <c r="A169" s="10"/>
      <c r="B169" s="10"/>
      <c r="C169" s="16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spans="1:37" ht="18" x14ac:dyDescent="0.25">
      <c r="A170" s="10"/>
      <c r="B170" s="10"/>
      <c r="C170" s="16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spans="1:37" ht="18" x14ac:dyDescent="0.25">
      <c r="A171" s="10"/>
      <c r="B171" s="10"/>
      <c r="C171" s="16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spans="1:37" ht="18" x14ac:dyDescent="0.25">
      <c r="A172" s="10"/>
      <c r="B172" s="10"/>
      <c r="C172" s="16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spans="1:37" ht="18" x14ac:dyDescent="0.25">
      <c r="A173" s="10"/>
      <c r="B173" s="10"/>
      <c r="C173" s="16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spans="1:37" ht="18" x14ac:dyDescent="0.25">
      <c r="A174" s="10"/>
      <c r="B174" s="10"/>
      <c r="C174" s="16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spans="1:37" ht="18" x14ac:dyDescent="0.25">
      <c r="A175" s="10"/>
      <c r="B175" s="10"/>
      <c r="C175" s="16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spans="1:37" ht="18" x14ac:dyDescent="0.25">
      <c r="A176" s="10"/>
      <c r="B176" s="10"/>
      <c r="C176" s="16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spans="1:37" ht="18" x14ac:dyDescent="0.25">
      <c r="A177" s="10"/>
      <c r="B177" s="10"/>
      <c r="C177" s="16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spans="1:37" ht="18" x14ac:dyDescent="0.25">
      <c r="A178" s="10"/>
      <c r="B178" s="10"/>
      <c r="C178" s="16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spans="1:37" ht="18" x14ac:dyDescent="0.25">
      <c r="A179" s="10"/>
      <c r="B179" s="10"/>
      <c r="C179" s="16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spans="1:37" ht="18" x14ac:dyDescent="0.25">
      <c r="A180" s="10"/>
      <c r="B180" s="10"/>
      <c r="C180" s="16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spans="1:37" ht="18" x14ac:dyDescent="0.25">
      <c r="A181" s="10"/>
      <c r="B181" s="10"/>
      <c r="C181" s="16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spans="1:37" ht="18" x14ac:dyDescent="0.25">
      <c r="A182" s="10"/>
      <c r="B182" s="10"/>
      <c r="C182" s="16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spans="1:37" ht="18" x14ac:dyDescent="0.25">
      <c r="A183" s="10"/>
      <c r="B183" s="10"/>
      <c r="C183" s="16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spans="1:37" ht="18" x14ac:dyDescent="0.25">
      <c r="A184" s="10"/>
      <c r="B184" s="10"/>
      <c r="C184" s="16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spans="1:37" ht="18" x14ac:dyDescent="0.25">
      <c r="A185" s="10"/>
      <c r="B185" s="10"/>
      <c r="C185" s="16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spans="1:37" ht="18" x14ac:dyDescent="0.25">
      <c r="A186" s="10"/>
      <c r="B186" s="10"/>
      <c r="C186" s="16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spans="1:37" ht="18" x14ac:dyDescent="0.25">
      <c r="A187" s="10"/>
      <c r="B187" s="10"/>
      <c r="C187" s="16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spans="1:37" ht="18" x14ac:dyDescent="0.25">
      <c r="A188" s="10"/>
      <c r="B188" s="10"/>
      <c r="C188" s="16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spans="1:37" ht="18" x14ac:dyDescent="0.25">
      <c r="A189" s="10"/>
      <c r="B189" s="10"/>
      <c r="C189" s="16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spans="1:37" ht="18" x14ac:dyDescent="0.25">
      <c r="A190" s="10"/>
      <c r="B190" s="10"/>
      <c r="C190" s="16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spans="1:37" ht="18" x14ac:dyDescent="0.25">
      <c r="A191" s="10"/>
      <c r="B191" s="10"/>
      <c r="C191" s="16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spans="1:37" ht="18" x14ac:dyDescent="0.25">
      <c r="A192" s="10"/>
      <c r="B192" s="10"/>
      <c r="C192" s="16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spans="1:37" ht="18" x14ac:dyDescent="0.25">
      <c r="A193" s="10"/>
      <c r="B193" s="10"/>
      <c r="C193" s="16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spans="1:37" ht="18" x14ac:dyDescent="0.25">
      <c r="A194" s="10"/>
      <c r="B194" s="10"/>
      <c r="C194" s="16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spans="1:37" ht="18" x14ac:dyDescent="0.25">
      <c r="A195" s="10"/>
      <c r="B195" s="10"/>
      <c r="C195" s="16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spans="1:37" ht="18" x14ac:dyDescent="0.25">
      <c r="A196" s="10"/>
      <c r="B196" s="10"/>
      <c r="C196" s="16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spans="1:37" ht="18" x14ac:dyDescent="0.25">
      <c r="A197" s="10"/>
      <c r="B197" s="10"/>
      <c r="C197" s="16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spans="1:37" ht="18" x14ac:dyDescent="0.25">
      <c r="A198" s="10"/>
      <c r="B198" s="10"/>
      <c r="C198" s="16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spans="1:37" ht="18" x14ac:dyDescent="0.25">
      <c r="A199" s="10"/>
      <c r="B199" s="10"/>
      <c r="C199" s="16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spans="1:37" ht="18" x14ac:dyDescent="0.25">
      <c r="A200" s="10"/>
      <c r="B200" s="10"/>
      <c r="C200" s="16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spans="1:37" ht="18" x14ac:dyDescent="0.25">
      <c r="A201" s="10"/>
      <c r="B201" s="10"/>
      <c r="C201" s="16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spans="1:37" ht="18" x14ac:dyDescent="0.25">
      <c r="A202" s="10"/>
      <c r="B202" s="10"/>
      <c r="C202" s="16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spans="1:37" ht="18" x14ac:dyDescent="0.25">
      <c r="A203" s="10"/>
      <c r="B203" s="10"/>
      <c r="C203" s="16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spans="1:37" ht="18" x14ac:dyDescent="0.25">
      <c r="A204" s="10"/>
      <c r="B204" s="10"/>
      <c r="C204" s="16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spans="1:37" ht="18" x14ac:dyDescent="0.25">
      <c r="A205" s="10"/>
      <c r="B205" s="10"/>
      <c r="C205" s="16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spans="1:37" ht="18" x14ac:dyDescent="0.25">
      <c r="A206" s="10"/>
      <c r="B206" s="10"/>
      <c r="C206" s="16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spans="1:37" ht="18" x14ac:dyDescent="0.25">
      <c r="A207" s="10"/>
      <c r="B207" s="10"/>
      <c r="C207" s="16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spans="1:37" ht="18" x14ac:dyDescent="0.25">
      <c r="A208" s="10"/>
      <c r="B208" s="10"/>
      <c r="C208" s="16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spans="1:37" ht="18" x14ac:dyDescent="0.25">
      <c r="A209" s="10"/>
      <c r="B209" s="10"/>
      <c r="C209" s="16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spans="1:37" ht="18" x14ac:dyDescent="0.25">
      <c r="A210" s="10"/>
      <c r="B210" s="10"/>
      <c r="C210" s="16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spans="1:37" ht="18" x14ac:dyDescent="0.25">
      <c r="A211" s="10"/>
      <c r="B211" s="10"/>
      <c r="C211" s="16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spans="1:37" ht="18" x14ac:dyDescent="0.25">
      <c r="A212" s="10"/>
      <c r="B212" s="10"/>
      <c r="C212" s="16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spans="1:37" ht="18" x14ac:dyDescent="0.25">
      <c r="A213" s="10"/>
      <c r="B213" s="10"/>
      <c r="C213" s="16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spans="1:37" ht="18" x14ac:dyDescent="0.25">
      <c r="A214" s="10"/>
      <c r="B214" s="10"/>
      <c r="C214" s="16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spans="1:37" ht="18" x14ac:dyDescent="0.25">
      <c r="A215" s="10"/>
      <c r="B215" s="10"/>
      <c r="C215" s="16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spans="1:37" ht="18" x14ac:dyDescent="0.25">
      <c r="A216" s="10"/>
      <c r="B216" s="10"/>
      <c r="C216" s="16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spans="1:37" ht="18" x14ac:dyDescent="0.25">
      <c r="A217" s="10"/>
      <c r="B217" s="10"/>
      <c r="C217" s="16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spans="1:37" ht="18" x14ac:dyDescent="0.25">
      <c r="A218" s="10"/>
      <c r="B218" s="10"/>
      <c r="C218" s="16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spans="1:37" ht="18" x14ac:dyDescent="0.25">
      <c r="A219" s="10"/>
      <c r="B219" s="10"/>
      <c r="C219" s="16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spans="1:37" ht="18" x14ac:dyDescent="0.25">
      <c r="A220" s="10"/>
      <c r="B220" s="10"/>
      <c r="C220" s="16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spans="1:37" ht="18" x14ac:dyDescent="0.25">
      <c r="A221" s="10"/>
      <c r="B221" s="10"/>
      <c r="C221" s="16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spans="1:37" ht="18" x14ac:dyDescent="0.25">
      <c r="A222" s="10"/>
      <c r="B222" s="10"/>
      <c r="C222" s="16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spans="1:37" ht="18" x14ac:dyDescent="0.25">
      <c r="A223" s="10"/>
      <c r="B223" s="10"/>
      <c r="C223" s="16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spans="1:37" ht="18" x14ac:dyDescent="0.25">
      <c r="A224" s="10"/>
      <c r="B224" s="10"/>
      <c r="C224" s="16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spans="1:37" ht="18" x14ac:dyDescent="0.25">
      <c r="A225" s="10"/>
      <c r="B225" s="10"/>
      <c r="C225" s="16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spans="1:37" ht="18" x14ac:dyDescent="0.25">
      <c r="A226" s="10"/>
      <c r="B226" s="10"/>
      <c r="C226" s="16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spans="1:37" ht="18" x14ac:dyDescent="0.25">
      <c r="A227" s="10"/>
      <c r="B227" s="10"/>
      <c r="C227" s="16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spans="1:37" ht="18" x14ac:dyDescent="0.25">
      <c r="A228" s="10"/>
      <c r="B228" s="10"/>
      <c r="C228" s="16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spans="1:37" ht="18" x14ac:dyDescent="0.25">
      <c r="A229" s="10"/>
      <c r="B229" s="10"/>
      <c r="C229" s="16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spans="1:37" ht="18" x14ac:dyDescent="0.25">
      <c r="A230" s="10"/>
      <c r="B230" s="10"/>
      <c r="C230" s="16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spans="1:37" ht="18" x14ac:dyDescent="0.25">
      <c r="A231" s="10"/>
      <c r="B231" s="10"/>
      <c r="C231" s="16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spans="1:37" ht="18" x14ac:dyDescent="0.25">
      <c r="A232" s="10"/>
      <c r="B232" s="10"/>
      <c r="C232" s="16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spans="1:37" ht="18" x14ac:dyDescent="0.25">
      <c r="A233" s="10"/>
      <c r="B233" s="10"/>
      <c r="C233" s="16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spans="1:37" ht="18" x14ac:dyDescent="0.25">
      <c r="A234" s="10"/>
      <c r="B234" s="10"/>
      <c r="C234" s="16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spans="1:37" ht="18" x14ac:dyDescent="0.25">
      <c r="A235" s="10"/>
      <c r="B235" s="10"/>
      <c r="C235" s="16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spans="1:37" ht="18" x14ac:dyDescent="0.25">
      <c r="A236" s="10"/>
      <c r="B236" s="10"/>
      <c r="C236" s="16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spans="1:37" ht="18" x14ac:dyDescent="0.25">
      <c r="A237" s="10"/>
      <c r="B237" s="10"/>
      <c r="C237" s="16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spans="1:37" ht="18" x14ac:dyDescent="0.25">
      <c r="A238" s="10"/>
      <c r="B238" s="10"/>
      <c r="C238" s="16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spans="1:37" ht="18" x14ac:dyDescent="0.25">
      <c r="A239" s="10"/>
      <c r="B239" s="10"/>
      <c r="C239" s="16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spans="1:37" ht="18" x14ac:dyDescent="0.25">
      <c r="A240" s="10"/>
      <c r="B240" s="10"/>
      <c r="C240" s="16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spans="1:37" ht="18" x14ac:dyDescent="0.25">
      <c r="A241" s="10"/>
      <c r="B241" s="10"/>
      <c r="C241" s="16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spans="1:37" ht="18" x14ac:dyDescent="0.25">
      <c r="A242" s="10"/>
      <c r="B242" s="10"/>
      <c r="C242" s="16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spans="1:37" ht="18" x14ac:dyDescent="0.25">
      <c r="A243" s="10"/>
      <c r="B243" s="10"/>
      <c r="C243" s="16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spans="1:37" ht="18" x14ac:dyDescent="0.25">
      <c r="A244" s="10"/>
      <c r="B244" s="10"/>
      <c r="C244" s="16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spans="1:37" ht="18" x14ac:dyDescent="0.25">
      <c r="A245" s="10"/>
      <c r="B245" s="10"/>
      <c r="C245" s="16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spans="1:37" ht="18" x14ac:dyDescent="0.25">
      <c r="A246" s="10"/>
      <c r="B246" s="10"/>
      <c r="C246" s="16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spans="1:37" ht="18" x14ac:dyDescent="0.25">
      <c r="A247" s="10"/>
      <c r="B247" s="10"/>
      <c r="C247" s="16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spans="1:37" ht="18" x14ac:dyDescent="0.25">
      <c r="A248" s="10"/>
      <c r="B248" s="10"/>
      <c r="C248" s="16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spans="1:37" ht="18" x14ac:dyDescent="0.25">
      <c r="A249" s="10"/>
      <c r="B249" s="10"/>
      <c r="C249" s="16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spans="1:37" ht="18" x14ac:dyDescent="0.25">
      <c r="A250" s="10"/>
      <c r="B250" s="10"/>
      <c r="C250" s="16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spans="1:37" ht="18" x14ac:dyDescent="0.25">
      <c r="A251" s="10"/>
      <c r="B251" s="10"/>
      <c r="C251" s="16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spans="1:37" ht="18" x14ac:dyDescent="0.25">
      <c r="A252" s="10"/>
      <c r="B252" s="10"/>
      <c r="C252" s="16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1:37" ht="18" x14ac:dyDescent="0.25">
      <c r="A253" s="10"/>
      <c r="B253" s="10"/>
      <c r="C253" s="16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1:37" ht="18" x14ac:dyDescent="0.25">
      <c r="A254" s="10"/>
      <c r="B254" s="10"/>
      <c r="C254" s="16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1:37" ht="18" x14ac:dyDescent="0.25">
      <c r="A255" s="10"/>
      <c r="B255" s="10"/>
      <c r="C255" s="16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1:37" ht="18" x14ac:dyDescent="0.25">
      <c r="A256" s="10"/>
      <c r="B256" s="10"/>
      <c r="C256" s="16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spans="1:37" ht="18" x14ac:dyDescent="0.25">
      <c r="A257" s="10"/>
      <c r="B257" s="10"/>
      <c r="C257" s="16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1:37" ht="18" x14ac:dyDescent="0.25">
      <c r="A258" s="10"/>
      <c r="B258" s="10"/>
      <c r="C258" s="16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spans="1:37" ht="18" x14ac:dyDescent="0.25">
      <c r="A259" s="10"/>
      <c r="B259" s="10"/>
      <c r="C259" s="16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spans="1:37" ht="18" x14ac:dyDescent="0.25">
      <c r="A260" s="10"/>
      <c r="B260" s="10"/>
      <c r="C260" s="16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spans="1:37" ht="18" x14ac:dyDescent="0.25">
      <c r="A261" s="10"/>
      <c r="B261" s="10"/>
      <c r="C261" s="16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spans="1:37" ht="18" x14ac:dyDescent="0.25">
      <c r="A262" s="10"/>
      <c r="B262" s="10"/>
      <c r="C262" s="16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spans="1:37" ht="18" x14ac:dyDescent="0.25">
      <c r="A263" s="10"/>
      <c r="B263" s="10"/>
      <c r="C263" s="16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spans="1:37" ht="18" x14ac:dyDescent="0.25">
      <c r="A264" s="10"/>
      <c r="B264" s="10"/>
      <c r="C264" s="16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spans="1:37" ht="18" x14ac:dyDescent="0.25">
      <c r="A265" s="10"/>
      <c r="B265" s="10"/>
      <c r="C265" s="16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spans="1:37" ht="18" x14ac:dyDescent="0.25">
      <c r="A266" s="10"/>
      <c r="B266" s="10"/>
      <c r="C266" s="16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spans="1:37" ht="18" x14ac:dyDescent="0.25">
      <c r="A267" s="10"/>
      <c r="B267" s="10"/>
      <c r="C267" s="16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spans="1:37" ht="18" x14ac:dyDescent="0.25">
      <c r="A268" s="10"/>
      <c r="B268" s="10"/>
      <c r="C268" s="16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spans="1:37" ht="18" x14ac:dyDescent="0.25">
      <c r="A269" s="10"/>
      <c r="B269" s="10"/>
      <c r="C269" s="16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spans="1:37" ht="18" x14ac:dyDescent="0.25">
      <c r="A270" s="10"/>
      <c r="B270" s="10"/>
      <c r="C270" s="16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spans="1:37" ht="18" x14ac:dyDescent="0.25">
      <c r="A271" s="10"/>
      <c r="B271" s="10"/>
      <c r="C271" s="16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spans="1:37" ht="18" x14ac:dyDescent="0.25">
      <c r="A272" s="10"/>
      <c r="B272" s="10"/>
      <c r="C272" s="16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spans="1:37" ht="18" x14ac:dyDescent="0.25">
      <c r="A273" s="10"/>
      <c r="B273" s="10"/>
      <c r="C273" s="16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spans="1:37" ht="18" x14ac:dyDescent="0.25">
      <c r="A274" s="10"/>
      <c r="B274" s="10"/>
      <c r="C274" s="16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spans="1:37" ht="18" x14ac:dyDescent="0.25">
      <c r="A275" s="10"/>
      <c r="B275" s="10"/>
      <c r="C275" s="16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spans="1:37" ht="18" x14ac:dyDescent="0.25">
      <c r="A276" s="10"/>
      <c r="B276" s="10"/>
      <c r="C276" s="16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spans="1:37" ht="18" x14ac:dyDescent="0.25">
      <c r="A277" s="10"/>
      <c r="B277" s="10"/>
      <c r="C277" s="16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spans="1:37" ht="18" x14ac:dyDescent="0.25">
      <c r="A278" s="10"/>
      <c r="B278" s="10"/>
      <c r="C278" s="16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spans="1:37" ht="18" x14ac:dyDescent="0.25">
      <c r="A279" s="10"/>
      <c r="B279" s="10"/>
      <c r="C279" s="16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spans="1:37" ht="18" x14ac:dyDescent="0.25">
      <c r="A280" s="10"/>
      <c r="B280" s="10"/>
      <c r="C280" s="16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spans="1:37" ht="18" x14ac:dyDescent="0.25">
      <c r="A281" s="10"/>
      <c r="B281" s="10"/>
      <c r="C281" s="16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spans="1:37" ht="18" x14ac:dyDescent="0.25">
      <c r="A282" s="10"/>
      <c r="B282" s="10"/>
      <c r="C282" s="16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spans="1:37" ht="18" x14ac:dyDescent="0.25">
      <c r="A283" s="10"/>
      <c r="B283" s="10"/>
      <c r="C283" s="16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spans="1:37" ht="18" x14ac:dyDescent="0.25">
      <c r="A284" s="10"/>
      <c r="B284" s="10"/>
      <c r="C284" s="16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spans="1:37" ht="18" x14ac:dyDescent="0.25">
      <c r="A285" s="10"/>
      <c r="B285" s="10"/>
      <c r="C285" s="16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spans="1:37" ht="18" x14ac:dyDescent="0.25">
      <c r="A286" s="10"/>
      <c r="B286" s="10"/>
      <c r="C286" s="16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spans="1:37" ht="18" x14ac:dyDescent="0.25">
      <c r="A287" s="10"/>
      <c r="B287" s="10"/>
      <c r="C287" s="16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spans="1:37" ht="18" x14ac:dyDescent="0.25">
      <c r="A288" s="10"/>
      <c r="B288" s="10"/>
      <c r="C288" s="16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spans="1:37" ht="18" x14ac:dyDescent="0.25">
      <c r="A289" s="10"/>
      <c r="B289" s="10"/>
      <c r="C289" s="16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spans="1:37" ht="18" x14ac:dyDescent="0.25">
      <c r="A290" s="10"/>
      <c r="B290" s="10"/>
      <c r="C290" s="16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spans="1:37" ht="18" x14ac:dyDescent="0.25">
      <c r="A291" s="10"/>
      <c r="B291" s="10"/>
      <c r="C291" s="16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spans="1:37" ht="18" x14ac:dyDescent="0.25">
      <c r="A292" s="10"/>
      <c r="B292" s="10"/>
      <c r="C292" s="16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spans="1:37" ht="18" x14ac:dyDescent="0.25">
      <c r="A293" s="10"/>
      <c r="B293" s="10"/>
      <c r="C293" s="16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spans="1:37" ht="18" x14ac:dyDescent="0.25">
      <c r="A294" s="10"/>
      <c r="B294" s="10"/>
      <c r="C294" s="16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spans="1:37" ht="18" x14ac:dyDescent="0.25">
      <c r="A295" s="10"/>
      <c r="B295" s="10"/>
      <c r="C295" s="16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spans="1:37" ht="18" x14ac:dyDescent="0.25">
      <c r="A296" s="10"/>
      <c r="B296" s="10"/>
      <c r="C296" s="16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spans="1:37" ht="18" x14ac:dyDescent="0.25">
      <c r="A297" s="10"/>
      <c r="B297" s="10"/>
      <c r="C297" s="16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spans="1:37" ht="18" x14ac:dyDescent="0.25">
      <c r="A298" s="10"/>
      <c r="B298" s="10"/>
      <c r="C298" s="16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spans="1:37" ht="18" x14ac:dyDescent="0.25">
      <c r="A299" s="10"/>
      <c r="B299" s="10"/>
      <c r="C299" s="16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spans="1:37" ht="18" x14ac:dyDescent="0.25">
      <c r="A300" s="10"/>
      <c r="B300" s="10"/>
      <c r="C300" s="16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spans="1:37" ht="18" x14ac:dyDescent="0.25">
      <c r="A301" s="10"/>
      <c r="B301" s="10"/>
      <c r="C301" s="16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spans="1:37" ht="18" x14ac:dyDescent="0.25">
      <c r="A302" s="10"/>
      <c r="B302" s="10"/>
      <c r="C302" s="16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spans="1:37" ht="18" x14ac:dyDescent="0.25">
      <c r="A303" s="10"/>
      <c r="B303" s="10"/>
      <c r="C303" s="16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spans="1:37" ht="18" x14ac:dyDescent="0.25">
      <c r="A304" s="10"/>
      <c r="B304" s="10"/>
      <c r="C304" s="16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spans="1:37" ht="18" x14ac:dyDescent="0.25">
      <c r="A305" s="10"/>
      <c r="B305" s="10"/>
      <c r="C305" s="16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spans="1:37" ht="18" x14ac:dyDescent="0.25">
      <c r="A306" s="10"/>
      <c r="B306" s="10"/>
      <c r="C306" s="16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spans="1:37" ht="18" x14ac:dyDescent="0.25">
      <c r="A307" s="10"/>
      <c r="B307" s="10"/>
      <c r="C307" s="16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spans="1:37" ht="18" x14ac:dyDescent="0.25">
      <c r="A308" s="10"/>
      <c r="B308" s="10"/>
      <c r="C308" s="16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spans="1:37" ht="18" x14ac:dyDescent="0.25">
      <c r="A309" s="10"/>
      <c r="B309" s="10"/>
      <c r="C309" s="16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spans="1:37" ht="18" x14ac:dyDescent="0.25">
      <c r="A310" s="10"/>
      <c r="B310" s="10"/>
      <c r="C310" s="16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spans="1:37" ht="18" x14ac:dyDescent="0.25">
      <c r="A311" s="10"/>
      <c r="B311" s="10"/>
      <c r="C311" s="16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spans="1:37" ht="18" x14ac:dyDescent="0.25">
      <c r="A312" s="10"/>
      <c r="B312" s="10"/>
      <c r="C312" s="16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spans="1:37" ht="18" x14ac:dyDescent="0.25">
      <c r="A313" s="10"/>
      <c r="B313" s="10"/>
      <c r="C313" s="16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spans="1:37" ht="18" x14ac:dyDescent="0.25">
      <c r="A314" s="10"/>
      <c r="B314" s="10"/>
      <c r="C314" s="16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spans="1:37" ht="18" x14ac:dyDescent="0.25">
      <c r="A315" s="10"/>
      <c r="B315" s="10"/>
      <c r="C315" s="16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spans="1:37" ht="18" x14ac:dyDescent="0.25">
      <c r="A316" s="10"/>
      <c r="B316" s="10"/>
      <c r="C316" s="16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spans="1:37" ht="18" x14ac:dyDescent="0.25">
      <c r="A317" s="10"/>
      <c r="B317" s="10"/>
      <c r="C317" s="16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spans="1:37" ht="18" x14ac:dyDescent="0.25">
      <c r="A318" s="10"/>
      <c r="B318" s="10"/>
      <c r="C318" s="16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spans="1:37" ht="18" x14ac:dyDescent="0.25">
      <c r="A319" s="10"/>
      <c r="B319" s="10"/>
      <c r="C319" s="16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spans="1:37" ht="18" x14ac:dyDescent="0.25">
      <c r="A320" s="10"/>
      <c r="B320" s="10"/>
      <c r="C320" s="16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spans="1:37" ht="18" x14ac:dyDescent="0.25">
      <c r="A321" s="10"/>
      <c r="B321" s="10"/>
      <c r="C321" s="16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spans="1:37" ht="18" x14ac:dyDescent="0.25">
      <c r="A322" s="10"/>
      <c r="B322" s="10"/>
      <c r="C322" s="16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spans="1:37" ht="18" x14ac:dyDescent="0.25">
      <c r="A323" s="10"/>
      <c r="B323" s="10"/>
      <c r="C323" s="16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spans="1:37" ht="18" x14ac:dyDescent="0.25">
      <c r="A324" s="10"/>
      <c r="B324" s="10"/>
      <c r="C324" s="16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spans="1:37" ht="18" x14ac:dyDescent="0.25">
      <c r="A325" s="10"/>
      <c r="B325" s="10"/>
      <c r="C325" s="16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spans="1:37" ht="18" x14ac:dyDescent="0.25">
      <c r="A326" s="10"/>
      <c r="B326" s="10"/>
      <c r="C326" s="16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spans="1:37" ht="18" x14ac:dyDescent="0.25">
      <c r="A327" s="10"/>
      <c r="B327" s="10"/>
      <c r="C327" s="16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spans="1:37" ht="18" x14ac:dyDescent="0.25">
      <c r="A328" s="10"/>
      <c r="B328" s="10"/>
      <c r="C328" s="16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spans="1:37" ht="18" x14ac:dyDescent="0.25">
      <c r="A329" s="10"/>
      <c r="B329" s="10"/>
      <c r="C329" s="16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spans="1:37" ht="18" x14ac:dyDescent="0.25">
      <c r="A330" s="10"/>
      <c r="B330" s="10"/>
      <c r="C330" s="16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spans="1:37" ht="18" x14ac:dyDescent="0.25">
      <c r="A331" s="10"/>
      <c r="B331" s="10"/>
      <c r="C331" s="16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spans="1:37" ht="18" x14ac:dyDescent="0.25">
      <c r="A332" s="10"/>
      <c r="B332" s="10"/>
      <c r="C332" s="16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spans="1:37" ht="18" x14ac:dyDescent="0.25">
      <c r="A333" s="10"/>
      <c r="B333" s="10"/>
      <c r="C333" s="16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spans="1:37" ht="18" x14ac:dyDescent="0.25">
      <c r="A334" s="10"/>
      <c r="B334" s="10"/>
      <c r="C334" s="16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spans="1:37" ht="18" x14ac:dyDescent="0.25">
      <c r="A335" s="10"/>
      <c r="B335" s="10"/>
      <c r="C335" s="16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spans="1:37" ht="18" x14ac:dyDescent="0.25">
      <c r="A336" s="10"/>
      <c r="B336" s="10"/>
      <c r="C336" s="16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spans="1:37" ht="18" x14ac:dyDescent="0.25">
      <c r="A337" s="10"/>
      <c r="B337" s="10"/>
      <c r="C337" s="16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8" x14ac:dyDescent="0.25">
      <c r="A338" s="10"/>
      <c r="B338" s="10"/>
      <c r="C338" s="16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8" x14ac:dyDescent="0.25">
      <c r="A339" s="10"/>
      <c r="B339" s="10"/>
      <c r="C339" s="16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8" x14ac:dyDescent="0.25">
      <c r="A340" s="10"/>
      <c r="B340" s="10"/>
      <c r="C340" s="16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8" x14ac:dyDescent="0.25">
      <c r="A341" s="10"/>
      <c r="B341" s="10"/>
      <c r="C341" s="16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8" x14ac:dyDescent="0.25">
      <c r="A342" s="10"/>
      <c r="B342" s="10"/>
      <c r="C342" s="16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8" x14ac:dyDescent="0.25">
      <c r="A343" s="10"/>
      <c r="B343" s="10"/>
      <c r="C343" s="16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8" x14ac:dyDescent="0.25">
      <c r="A344" s="10"/>
      <c r="B344" s="10"/>
      <c r="C344" s="16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8" x14ac:dyDescent="0.25">
      <c r="A345" s="10"/>
      <c r="B345" s="10"/>
      <c r="C345" s="16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8" x14ac:dyDescent="0.25">
      <c r="A346" s="10"/>
      <c r="B346" s="10"/>
      <c r="C346" s="16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8" x14ac:dyDescent="0.25">
      <c r="A347" s="10"/>
      <c r="B347" s="10"/>
      <c r="C347" s="16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8" x14ac:dyDescent="0.25">
      <c r="A348" s="10"/>
      <c r="B348" s="10"/>
      <c r="C348" s="16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8" x14ac:dyDescent="0.25">
      <c r="A349" s="10"/>
      <c r="B349" s="10"/>
      <c r="C349" s="16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8" x14ac:dyDescent="0.25">
      <c r="A350" s="10"/>
      <c r="B350" s="10"/>
      <c r="C350" s="16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8" x14ac:dyDescent="0.25">
      <c r="A351" s="10"/>
      <c r="B351" s="10"/>
      <c r="C351" s="16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8" x14ac:dyDescent="0.25">
      <c r="A352" s="10"/>
      <c r="B352" s="10"/>
      <c r="C352" s="16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8" x14ac:dyDescent="0.25">
      <c r="A353" s="10"/>
      <c r="B353" s="10"/>
      <c r="C353" s="16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8" x14ac:dyDescent="0.25">
      <c r="A354" s="10"/>
      <c r="B354" s="10"/>
      <c r="C354" s="16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8" x14ac:dyDescent="0.25">
      <c r="A355" s="10"/>
      <c r="B355" s="10"/>
      <c r="C355" s="16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8" x14ac:dyDescent="0.25">
      <c r="A356" s="10"/>
      <c r="B356" s="10"/>
      <c r="C356" s="16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8" x14ac:dyDescent="0.25">
      <c r="A357" s="10"/>
      <c r="B357" s="10"/>
      <c r="C357" s="16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8" x14ac:dyDescent="0.25">
      <c r="A358" s="10"/>
      <c r="B358" s="10"/>
      <c r="C358" s="16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8" x14ac:dyDescent="0.25">
      <c r="A359" s="10"/>
      <c r="B359" s="10"/>
      <c r="C359" s="16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8" x14ac:dyDescent="0.25">
      <c r="A360" s="10"/>
      <c r="B360" s="10"/>
      <c r="C360" s="16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8" x14ac:dyDescent="0.25">
      <c r="A361" s="10"/>
      <c r="B361" s="10"/>
      <c r="C361" s="16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8" x14ac:dyDescent="0.25">
      <c r="A362" s="10"/>
      <c r="B362" s="10"/>
      <c r="C362" s="16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8" x14ac:dyDescent="0.25">
      <c r="A363" s="10"/>
      <c r="B363" s="10"/>
      <c r="C363" s="16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8" x14ac:dyDescent="0.25">
      <c r="A364" s="10"/>
      <c r="B364" s="10"/>
      <c r="C364" s="16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8" x14ac:dyDescent="0.25">
      <c r="A365" s="10"/>
      <c r="B365" s="10"/>
      <c r="C365" s="16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8" x14ac:dyDescent="0.25">
      <c r="A366" s="10"/>
      <c r="B366" s="10"/>
      <c r="C366" s="16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8" x14ac:dyDescent="0.25">
      <c r="A367" s="10"/>
      <c r="B367" s="10"/>
      <c r="C367" s="16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8" x14ac:dyDescent="0.25">
      <c r="A368" s="10"/>
      <c r="B368" s="10"/>
      <c r="C368" s="16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8" x14ac:dyDescent="0.25">
      <c r="A369" s="10"/>
      <c r="B369" s="10"/>
      <c r="C369" s="16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8" x14ac:dyDescent="0.25">
      <c r="A370" s="10"/>
      <c r="B370" s="10"/>
      <c r="C370" s="16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8" x14ac:dyDescent="0.25">
      <c r="A371" s="10"/>
      <c r="B371" s="10"/>
      <c r="C371" s="16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8" x14ac:dyDescent="0.25">
      <c r="A372" s="10"/>
      <c r="B372" s="10"/>
      <c r="C372" s="16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8" x14ac:dyDescent="0.25">
      <c r="A373" s="10"/>
      <c r="B373" s="10"/>
      <c r="C373" s="16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8" x14ac:dyDescent="0.25">
      <c r="A374" s="10"/>
      <c r="B374" s="10"/>
      <c r="C374" s="16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8" x14ac:dyDescent="0.25">
      <c r="A375" s="10"/>
      <c r="B375" s="10"/>
      <c r="C375" s="16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8" x14ac:dyDescent="0.25">
      <c r="A376" s="10"/>
      <c r="B376" s="10"/>
      <c r="C376" s="16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8" x14ac:dyDescent="0.25">
      <c r="A377" s="10"/>
      <c r="B377" s="10"/>
      <c r="C377" s="16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8" x14ac:dyDescent="0.25">
      <c r="A378" s="10"/>
      <c r="B378" s="10"/>
      <c r="C378" s="16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8" x14ac:dyDescent="0.25">
      <c r="A379" s="10"/>
      <c r="B379" s="10"/>
      <c r="C379" s="16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8" x14ac:dyDescent="0.25">
      <c r="A380" s="10"/>
      <c r="B380" s="10"/>
      <c r="C380" s="16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8" x14ac:dyDescent="0.25">
      <c r="A381" s="10"/>
      <c r="B381" s="10"/>
      <c r="C381" s="16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8" x14ac:dyDescent="0.25">
      <c r="A382" s="10"/>
      <c r="B382" s="10"/>
      <c r="C382" s="16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8" x14ac:dyDescent="0.25">
      <c r="A383" s="10"/>
      <c r="B383" s="10"/>
      <c r="C383" s="16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8" x14ac:dyDescent="0.25">
      <c r="A384" s="10"/>
      <c r="B384" s="10"/>
      <c r="C384" s="16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8" x14ac:dyDescent="0.25">
      <c r="A385" s="10"/>
      <c r="B385" s="10"/>
      <c r="C385" s="16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8" x14ac:dyDescent="0.25">
      <c r="A386" s="10"/>
      <c r="B386" s="10"/>
      <c r="C386" s="16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8" x14ac:dyDescent="0.25">
      <c r="A387" s="10"/>
      <c r="B387" s="10"/>
      <c r="C387" s="16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8" x14ac:dyDescent="0.25">
      <c r="A388" s="10"/>
      <c r="B388" s="10"/>
      <c r="C388" s="16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8" x14ac:dyDescent="0.25">
      <c r="A389" s="10"/>
      <c r="B389" s="10"/>
      <c r="C389" s="16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8" x14ac:dyDescent="0.25">
      <c r="A390" s="10"/>
      <c r="B390" s="10"/>
      <c r="C390" s="16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8" x14ac:dyDescent="0.25">
      <c r="A391" s="10"/>
      <c r="B391" s="10"/>
      <c r="C391" s="16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8" x14ac:dyDescent="0.25">
      <c r="A392" s="10"/>
      <c r="B392" s="10"/>
      <c r="C392" s="16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8" x14ac:dyDescent="0.25">
      <c r="A393" s="10"/>
      <c r="B393" s="10"/>
      <c r="C393" s="16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8" x14ac:dyDescent="0.25">
      <c r="A394" s="10"/>
      <c r="B394" s="10"/>
      <c r="C394" s="16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8" x14ac:dyDescent="0.25">
      <c r="A395" s="10"/>
      <c r="B395" s="10"/>
      <c r="C395" s="16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8" x14ac:dyDescent="0.25">
      <c r="A396" s="10"/>
      <c r="B396" s="10"/>
      <c r="C396" s="16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8" x14ac:dyDescent="0.25">
      <c r="A397" s="10"/>
      <c r="B397" s="10"/>
      <c r="C397" s="16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8" x14ac:dyDescent="0.25">
      <c r="A398" s="10"/>
      <c r="B398" s="10"/>
      <c r="C398" s="16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8" x14ac:dyDescent="0.25">
      <c r="A399" s="10"/>
      <c r="B399" s="10"/>
      <c r="C399" s="16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8" x14ac:dyDescent="0.25">
      <c r="A400" s="10"/>
      <c r="B400" s="10"/>
      <c r="C400" s="16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8" x14ac:dyDescent="0.25">
      <c r="A401" s="10"/>
      <c r="B401" s="10"/>
      <c r="C401" s="16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8" x14ac:dyDescent="0.25">
      <c r="A402" s="10"/>
      <c r="B402" s="10"/>
      <c r="C402" s="16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8" x14ac:dyDescent="0.25">
      <c r="A403" s="10"/>
      <c r="B403" s="10"/>
      <c r="C403" s="16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8" x14ac:dyDescent="0.25">
      <c r="A404" s="10"/>
      <c r="B404" s="10"/>
      <c r="C404" s="16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8" x14ac:dyDescent="0.25">
      <c r="A405" s="10"/>
      <c r="B405" s="10"/>
      <c r="C405" s="16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8" x14ac:dyDescent="0.25">
      <c r="A406" s="10"/>
      <c r="B406" s="10"/>
      <c r="C406" s="16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8" x14ac:dyDescent="0.25">
      <c r="A407" s="10"/>
      <c r="B407" s="10"/>
      <c r="C407" s="16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8" x14ac:dyDescent="0.25">
      <c r="A408" s="10"/>
      <c r="B408" s="10"/>
      <c r="C408" s="16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8" x14ac:dyDescent="0.25">
      <c r="A409" s="10"/>
      <c r="B409" s="10"/>
      <c r="C409" s="16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8" x14ac:dyDescent="0.25">
      <c r="A410" s="10"/>
      <c r="B410" s="10"/>
      <c r="C410" s="16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8" x14ac:dyDescent="0.25">
      <c r="A411" s="10"/>
      <c r="B411" s="10"/>
      <c r="C411" s="16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8" x14ac:dyDescent="0.25">
      <c r="A412" s="10"/>
      <c r="B412" s="10"/>
      <c r="C412" s="16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8" x14ac:dyDescent="0.25">
      <c r="A413" s="10"/>
      <c r="B413" s="10"/>
      <c r="C413" s="16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8" x14ac:dyDescent="0.25">
      <c r="A414" s="10"/>
      <c r="B414" s="10"/>
      <c r="C414" s="16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8" x14ac:dyDescent="0.25">
      <c r="A415" s="10"/>
      <c r="B415" s="10"/>
      <c r="C415" s="16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8" x14ac:dyDescent="0.25">
      <c r="A416" s="10"/>
      <c r="B416" s="10"/>
      <c r="C416" s="16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8" x14ac:dyDescent="0.25">
      <c r="A417" s="10"/>
      <c r="B417" s="10"/>
      <c r="C417" s="16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8" x14ac:dyDescent="0.25">
      <c r="A418" s="10"/>
      <c r="B418" s="10"/>
      <c r="C418" s="16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8" x14ac:dyDescent="0.25">
      <c r="A419" s="10"/>
      <c r="B419" s="10"/>
      <c r="C419" s="16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8" x14ac:dyDescent="0.25">
      <c r="A420" s="10"/>
      <c r="B420" s="10"/>
      <c r="C420" s="16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8" x14ac:dyDescent="0.25">
      <c r="A421" s="10"/>
      <c r="B421" s="10"/>
      <c r="C421" s="16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8" x14ac:dyDescent="0.25">
      <c r="A422" s="10"/>
      <c r="B422" s="10"/>
      <c r="C422" s="16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8" x14ac:dyDescent="0.25">
      <c r="A423" s="10"/>
      <c r="B423" s="10"/>
      <c r="C423" s="16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8" x14ac:dyDescent="0.25">
      <c r="A424" s="10"/>
      <c r="B424" s="10"/>
      <c r="C424" s="16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8" x14ac:dyDescent="0.25">
      <c r="A425" s="10"/>
      <c r="B425" s="10"/>
      <c r="C425" s="16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8" x14ac:dyDescent="0.25">
      <c r="A426" s="10"/>
      <c r="B426" s="10"/>
      <c r="C426" s="16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8" x14ac:dyDescent="0.25">
      <c r="A427" s="10"/>
      <c r="B427" s="10"/>
      <c r="C427" s="16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8" x14ac:dyDescent="0.25">
      <c r="A428" s="10"/>
      <c r="B428" s="10"/>
      <c r="C428" s="16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8" x14ac:dyDescent="0.25">
      <c r="A429" s="10"/>
      <c r="B429" s="10"/>
      <c r="C429" s="16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8" x14ac:dyDescent="0.25">
      <c r="A430" s="10"/>
      <c r="B430" s="10"/>
      <c r="C430" s="16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8" x14ac:dyDescent="0.25">
      <c r="A431" s="10"/>
      <c r="B431" s="10"/>
      <c r="C431" s="16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8" x14ac:dyDescent="0.25">
      <c r="A432" s="10"/>
      <c r="B432" s="10"/>
      <c r="C432" s="16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8" x14ac:dyDescent="0.25">
      <c r="A433" s="10"/>
      <c r="B433" s="10"/>
      <c r="C433" s="16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8" x14ac:dyDescent="0.25">
      <c r="A434" s="10"/>
      <c r="B434" s="10"/>
      <c r="C434" s="16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8" x14ac:dyDescent="0.25">
      <c r="A435" s="10"/>
      <c r="B435" s="10"/>
      <c r="C435" s="16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8" x14ac:dyDescent="0.25">
      <c r="A436" s="10"/>
      <c r="B436" s="10"/>
      <c r="C436" s="16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8" x14ac:dyDescent="0.25">
      <c r="A437" s="10"/>
      <c r="B437" s="10"/>
      <c r="C437" s="16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8" x14ac:dyDescent="0.25">
      <c r="A438" s="10"/>
      <c r="B438" s="10"/>
      <c r="C438" s="16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8" x14ac:dyDescent="0.25">
      <c r="A439" s="10"/>
      <c r="B439" s="10"/>
      <c r="C439" s="16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8" x14ac:dyDescent="0.25">
      <c r="A440" s="10"/>
      <c r="B440" s="10"/>
      <c r="C440" s="16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8" x14ac:dyDescent="0.25">
      <c r="A441" s="10"/>
      <c r="B441" s="10"/>
      <c r="C441" s="16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8" x14ac:dyDescent="0.25">
      <c r="A442" s="10"/>
      <c r="B442" s="10"/>
      <c r="C442" s="16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8" x14ac:dyDescent="0.25">
      <c r="A443" s="10"/>
      <c r="B443" s="10"/>
      <c r="C443" s="16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8" x14ac:dyDescent="0.25">
      <c r="A444" s="10"/>
      <c r="B444" s="10"/>
      <c r="C444" s="16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8" x14ac:dyDescent="0.25">
      <c r="A445" s="10"/>
      <c r="B445" s="10"/>
      <c r="C445" s="16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8" x14ac:dyDescent="0.25">
      <c r="A446" s="10"/>
      <c r="B446" s="10"/>
      <c r="C446" s="16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8" x14ac:dyDescent="0.25">
      <c r="A447" s="10"/>
      <c r="B447" s="10"/>
      <c r="C447" s="16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8" x14ac:dyDescent="0.25">
      <c r="A448" s="10"/>
      <c r="B448" s="10"/>
      <c r="C448" s="16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8" x14ac:dyDescent="0.25">
      <c r="A449" s="10"/>
      <c r="B449" s="10"/>
      <c r="C449" s="16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8" x14ac:dyDescent="0.25">
      <c r="A450" s="10"/>
      <c r="B450" s="10"/>
      <c r="C450" s="16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8" x14ac:dyDescent="0.25">
      <c r="A451" s="10"/>
      <c r="B451" s="10"/>
      <c r="C451" s="16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8" x14ac:dyDescent="0.25">
      <c r="A452" s="10"/>
      <c r="B452" s="10"/>
      <c r="C452" s="16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8" x14ac:dyDescent="0.25">
      <c r="A453" s="10"/>
      <c r="B453" s="10"/>
      <c r="C453" s="16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8" x14ac:dyDescent="0.25">
      <c r="A454" s="10"/>
      <c r="B454" s="10"/>
      <c r="C454" s="16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8" x14ac:dyDescent="0.25">
      <c r="A455" s="10"/>
      <c r="B455" s="10"/>
      <c r="C455" s="16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8" x14ac:dyDescent="0.25">
      <c r="A456" s="10"/>
      <c r="B456" s="10"/>
      <c r="C456" s="16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8" x14ac:dyDescent="0.25">
      <c r="A457" s="10"/>
      <c r="B457" s="10"/>
      <c r="C457" s="16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8" x14ac:dyDescent="0.25">
      <c r="A458" s="10"/>
      <c r="B458" s="10"/>
      <c r="C458" s="16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8" x14ac:dyDescent="0.25">
      <c r="A459" s="10"/>
      <c r="B459" s="10"/>
      <c r="C459" s="16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8" x14ac:dyDescent="0.25">
      <c r="A460" s="10"/>
      <c r="B460" s="10"/>
      <c r="C460" s="16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8" x14ac:dyDescent="0.25">
      <c r="A461" s="10"/>
      <c r="B461" s="10"/>
      <c r="C461" s="16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8" x14ac:dyDescent="0.25">
      <c r="A462" s="10"/>
      <c r="B462" s="10"/>
      <c r="C462" s="16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8" x14ac:dyDescent="0.25">
      <c r="A463" s="10"/>
      <c r="B463" s="10"/>
      <c r="C463" s="16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8" x14ac:dyDescent="0.25">
      <c r="A464" s="10"/>
      <c r="B464" s="10"/>
      <c r="C464" s="16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8" x14ac:dyDescent="0.25">
      <c r="A465" s="10"/>
      <c r="B465" s="10"/>
      <c r="C465" s="16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8" x14ac:dyDescent="0.25">
      <c r="A466" s="10"/>
      <c r="B466" s="10"/>
      <c r="C466" s="16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8" x14ac:dyDescent="0.25">
      <c r="A467" s="10"/>
      <c r="B467" s="10"/>
      <c r="C467" s="16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8" x14ac:dyDescent="0.25">
      <c r="A468" s="10"/>
      <c r="B468" s="10"/>
      <c r="C468" s="16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8" x14ac:dyDescent="0.25">
      <c r="A469" s="10"/>
      <c r="B469" s="10"/>
      <c r="C469" s="16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8" x14ac:dyDescent="0.25">
      <c r="A470" s="10"/>
      <c r="B470" s="10"/>
      <c r="C470" s="16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8" x14ac:dyDescent="0.25">
      <c r="A471" s="10"/>
      <c r="B471" s="10"/>
      <c r="C471" s="16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8" x14ac:dyDescent="0.25">
      <c r="A472" s="10"/>
      <c r="B472" s="10"/>
      <c r="C472" s="16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8" x14ac:dyDescent="0.25">
      <c r="A473" s="10"/>
      <c r="B473" s="10"/>
      <c r="C473" s="16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8" x14ac:dyDescent="0.25">
      <c r="A474" s="10"/>
      <c r="B474" s="10"/>
      <c r="C474" s="16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8" x14ac:dyDescent="0.25">
      <c r="A475" s="10"/>
      <c r="B475" s="10"/>
      <c r="C475" s="16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8" x14ac:dyDescent="0.25">
      <c r="A476" s="10"/>
      <c r="B476" s="10"/>
      <c r="C476" s="16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8" x14ac:dyDescent="0.25">
      <c r="A477" s="10"/>
      <c r="B477" s="10"/>
      <c r="C477" s="16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8" x14ac:dyDescent="0.25">
      <c r="A478" s="10"/>
      <c r="B478" s="10"/>
      <c r="C478" s="16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8" x14ac:dyDescent="0.25">
      <c r="A479" s="10"/>
      <c r="B479" s="10"/>
      <c r="C479" s="16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8" x14ac:dyDescent="0.25">
      <c r="A480" s="10"/>
      <c r="B480" s="10"/>
      <c r="C480" s="16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8" x14ac:dyDescent="0.25">
      <c r="A481" s="10"/>
      <c r="B481" s="10"/>
      <c r="C481" s="16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8" x14ac:dyDescent="0.25">
      <c r="A482" s="10"/>
      <c r="B482" s="10"/>
      <c r="C482" s="16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8" x14ac:dyDescent="0.25">
      <c r="A483" s="10"/>
      <c r="B483" s="10"/>
      <c r="C483" s="16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8" x14ac:dyDescent="0.25">
      <c r="A484" s="10"/>
      <c r="B484" s="10"/>
      <c r="C484" s="16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8" x14ac:dyDescent="0.25">
      <c r="A485" s="10"/>
      <c r="B485" s="10"/>
      <c r="C485" s="16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8" x14ac:dyDescent="0.25">
      <c r="A486" s="10"/>
      <c r="B486" s="10"/>
      <c r="C486" s="16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8" x14ac:dyDescent="0.25">
      <c r="A487" s="10"/>
      <c r="B487" s="10"/>
      <c r="C487" s="16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8" x14ac:dyDescent="0.25">
      <c r="A488" s="10"/>
      <c r="B488" s="10"/>
      <c r="C488" s="16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8" x14ac:dyDescent="0.25">
      <c r="A489" s="10"/>
      <c r="B489" s="10"/>
      <c r="C489" s="16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8" x14ac:dyDescent="0.25">
      <c r="A490" s="10"/>
      <c r="B490" s="10"/>
      <c r="C490" s="16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8" x14ac:dyDescent="0.25">
      <c r="A491" s="10"/>
      <c r="B491" s="10"/>
      <c r="C491" s="16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8" x14ac:dyDescent="0.25">
      <c r="A492" s="10"/>
      <c r="B492" s="10"/>
      <c r="C492" s="16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8" x14ac:dyDescent="0.25">
      <c r="A493" s="10"/>
      <c r="B493" s="10"/>
      <c r="C493" s="16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8" x14ac:dyDescent="0.25">
      <c r="A494" s="10"/>
      <c r="B494" s="10"/>
      <c r="C494" s="16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8" x14ac:dyDescent="0.25">
      <c r="A495" s="10"/>
      <c r="B495" s="10"/>
      <c r="C495" s="16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8" x14ac:dyDescent="0.25">
      <c r="A496" s="10"/>
      <c r="B496" s="10"/>
      <c r="C496" s="16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8" x14ac:dyDescent="0.25">
      <c r="A497" s="10"/>
      <c r="B497" s="10"/>
      <c r="C497" s="16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8" x14ac:dyDescent="0.25">
      <c r="A498" s="10"/>
      <c r="B498" s="10"/>
      <c r="C498" s="16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8" x14ac:dyDescent="0.25">
      <c r="A499" s="10"/>
      <c r="B499" s="10"/>
      <c r="C499" s="16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8" x14ac:dyDescent="0.25">
      <c r="A500" s="10"/>
      <c r="B500" s="10"/>
      <c r="C500" s="16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8" x14ac:dyDescent="0.25">
      <c r="A501" s="10"/>
      <c r="B501" s="10"/>
      <c r="C501" s="16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8" x14ac:dyDescent="0.25">
      <c r="A502" s="10"/>
      <c r="B502" s="10"/>
      <c r="C502" s="16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8" x14ac:dyDescent="0.25">
      <c r="A503" s="10"/>
      <c r="B503" s="10"/>
      <c r="C503" s="16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8" x14ac:dyDescent="0.25">
      <c r="A504" s="10"/>
      <c r="B504" s="10"/>
      <c r="C504" s="16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8" x14ac:dyDescent="0.25">
      <c r="A505" s="10"/>
      <c r="B505" s="10"/>
      <c r="C505" s="16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8" x14ac:dyDescent="0.25">
      <c r="A506" s="10"/>
      <c r="B506" s="10"/>
      <c r="C506" s="16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8" x14ac:dyDescent="0.25">
      <c r="A507" s="10"/>
      <c r="B507" s="10"/>
      <c r="C507" s="16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8" x14ac:dyDescent="0.25">
      <c r="A508" s="10"/>
      <c r="B508" s="10"/>
      <c r="C508" s="16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8" x14ac:dyDescent="0.25">
      <c r="A509" s="10"/>
      <c r="B509" s="10"/>
      <c r="C509" s="16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8" x14ac:dyDescent="0.25">
      <c r="A510" s="10"/>
      <c r="B510" s="10"/>
      <c r="C510" s="16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8" x14ac:dyDescent="0.25">
      <c r="A511" s="10"/>
      <c r="B511" s="10"/>
      <c r="C511" s="16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8" x14ac:dyDescent="0.25">
      <c r="A512" s="10"/>
      <c r="B512" s="10"/>
      <c r="C512" s="16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8" x14ac:dyDescent="0.25">
      <c r="A513" s="10"/>
      <c r="B513" s="10"/>
      <c r="C513" s="16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8" x14ac:dyDescent="0.25">
      <c r="A514" s="10"/>
      <c r="B514" s="10"/>
      <c r="C514" s="16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8" x14ac:dyDescent="0.25">
      <c r="A515" s="10"/>
      <c r="B515" s="10"/>
      <c r="C515" s="16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8" x14ac:dyDescent="0.25">
      <c r="A516" s="10"/>
      <c r="B516" s="10"/>
      <c r="C516" s="16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8" x14ac:dyDescent="0.25">
      <c r="A517" s="10"/>
      <c r="B517" s="10"/>
      <c r="C517" s="16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8" x14ac:dyDescent="0.25">
      <c r="A518" s="10"/>
      <c r="B518" s="10"/>
      <c r="C518" s="16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8" x14ac:dyDescent="0.25">
      <c r="A519" s="10"/>
      <c r="B519" s="10"/>
      <c r="C519" s="16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8" x14ac:dyDescent="0.25">
      <c r="A520" s="10"/>
      <c r="B520" s="10"/>
      <c r="C520" s="16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8" x14ac:dyDescent="0.25">
      <c r="A521" s="10"/>
      <c r="B521" s="10"/>
      <c r="C521" s="16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8" x14ac:dyDescent="0.25">
      <c r="A522" s="10"/>
      <c r="B522" s="10"/>
      <c r="C522" s="16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8" x14ac:dyDescent="0.25">
      <c r="A523" s="10"/>
      <c r="B523" s="10"/>
      <c r="C523" s="16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8" x14ac:dyDescent="0.25">
      <c r="A524" s="10"/>
      <c r="B524" s="10"/>
      <c r="C524" s="16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8" x14ac:dyDescent="0.25">
      <c r="A525" s="10"/>
      <c r="B525" s="10"/>
      <c r="C525" s="16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8" x14ac:dyDescent="0.25">
      <c r="A526" s="10"/>
      <c r="B526" s="10"/>
      <c r="C526" s="16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8" x14ac:dyDescent="0.25">
      <c r="A527" s="10"/>
      <c r="B527" s="10"/>
      <c r="C527" s="16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8" x14ac:dyDescent="0.25">
      <c r="A528" s="10"/>
      <c r="B528" s="10"/>
      <c r="C528" s="16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8" x14ac:dyDescent="0.25">
      <c r="A529" s="10"/>
      <c r="B529" s="10"/>
      <c r="C529" s="16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8" x14ac:dyDescent="0.25">
      <c r="A530" s="10"/>
      <c r="B530" s="10"/>
      <c r="C530" s="16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8" x14ac:dyDescent="0.25">
      <c r="A531" s="10"/>
      <c r="B531" s="10"/>
      <c r="C531" s="16"/>
      <c r="D531" s="16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</sheetData>
  <mergeCells count="15">
    <mergeCell ref="C10:D10"/>
    <mergeCell ref="B37:E37"/>
    <mergeCell ref="B39:G39"/>
    <mergeCell ref="B40:G40"/>
    <mergeCell ref="G16:G17"/>
    <mergeCell ref="B23:E23"/>
    <mergeCell ref="B24:E24"/>
    <mergeCell ref="B25:E25"/>
    <mergeCell ref="D31:E31"/>
    <mergeCell ref="D32:E32"/>
    <mergeCell ref="H1:N1"/>
    <mergeCell ref="B3:E3"/>
    <mergeCell ref="B8:E8"/>
    <mergeCell ref="G8:N8"/>
    <mergeCell ref="P8:V8"/>
  </mergeCells>
  <pageMargins left="0.25" right="0.25" top="0.75" bottom="0.75" header="0.3" footer="0.3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2C0A-6E2B-4D0A-970C-5CBE2B99FBA5}">
  <sheetPr>
    <pageSetUpPr fitToPage="1"/>
  </sheetPr>
  <dimension ref="A1:AM544"/>
  <sheetViews>
    <sheetView tabSelected="1" topLeftCell="A11" zoomScale="70" zoomScaleNormal="70" workbookViewId="0">
      <selection activeCell="D16" sqref="D16"/>
    </sheetView>
  </sheetViews>
  <sheetFormatPr baseColWidth="10" defaultColWidth="17.28515625" defaultRowHeight="15" customHeight="1" x14ac:dyDescent="0.25"/>
  <cols>
    <col min="1" max="1" width="4" style="14" customWidth="1"/>
    <col min="2" max="2" width="59.85546875" style="14" customWidth="1"/>
    <col min="3" max="3" width="9.42578125" style="14" bestFit="1" customWidth="1"/>
    <col min="4" max="4" width="64.140625" style="110" customWidth="1"/>
    <col min="5" max="5" width="21.42578125" style="14" bestFit="1" customWidth="1"/>
    <col min="6" max="6" width="2" style="14" customWidth="1"/>
    <col min="7" max="7" width="18.140625" style="14" bestFit="1" customWidth="1"/>
    <col min="8" max="8" width="15.42578125" style="14" customWidth="1"/>
    <col min="9" max="9" width="16.5703125" style="14" bestFit="1" customWidth="1"/>
    <col min="10" max="10" width="12.28515625" style="14" customWidth="1"/>
    <col min="11" max="11" width="10.28515625" style="14" bestFit="1" customWidth="1"/>
    <col min="12" max="12" width="16.5703125" style="14" bestFit="1" customWidth="1"/>
    <col min="13" max="13" width="18.140625" style="14" bestFit="1" customWidth="1"/>
    <col min="14" max="14" width="13.5703125" style="14" customWidth="1"/>
    <col min="15" max="15" width="16.28515625" style="14" customWidth="1"/>
    <col min="16" max="16" width="18.140625" style="14" bestFit="1" customWidth="1"/>
    <col min="17" max="17" width="1.85546875" style="14" customWidth="1"/>
    <col min="18" max="22" width="16.5703125" style="14" bestFit="1" customWidth="1"/>
    <col min="23" max="23" width="18.140625" style="14" bestFit="1" customWidth="1"/>
    <col min="24" max="24" width="14.140625" style="14" bestFit="1" customWidth="1"/>
    <col min="25" max="25" width="1.5703125" style="14" customWidth="1"/>
    <col min="26" max="26" width="18.140625" style="14" bestFit="1" customWidth="1"/>
    <col min="27" max="27" width="1.5703125" style="14" customWidth="1"/>
    <col min="28" max="28" width="9.28515625" style="14" customWidth="1"/>
    <col min="29" max="29" width="0.85546875" style="14" customWidth="1"/>
    <col min="30" max="30" width="18.140625" style="14" bestFit="1" customWidth="1"/>
    <col min="31" max="39" width="11.7109375" style="14" customWidth="1"/>
    <col min="40" max="258" width="17.28515625" style="14"/>
    <col min="259" max="259" width="4" style="14" customWidth="1"/>
    <col min="260" max="260" width="32.5703125" style="14" customWidth="1"/>
    <col min="261" max="261" width="9.42578125" style="14" bestFit="1" customWidth="1"/>
    <col min="262" max="262" width="20.85546875" style="14" customWidth="1"/>
    <col min="263" max="263" width="18" style="14" customWidth="1"/>
    <col min="264" max="264" width="2" style="14" customWidth="1"/>
    <col min="265" max="265" width="16.5703125" style="14" bestFit="1" customWidth="1"/>
    <col min="266" max="266" width="12.5703125" style="14" bestFit="1" customWidth="1"/>
    <col min="267" max="267" width="12.28515625" style="14" customWidth="1"/>
    <col min="268" max="268" width="10.28515625" style="14" bestFit="1" customWidth="1"/>
    <col min="269" max="269" width="12" style="14" bestFit="1" customWidth="1"/>
    <col min="270" max="270" width="16.5703125" style="14" bestFit="1" customWidth="1"/>
    <col min="271" max="271" width="13.5703125" style="14" customWidth="1"/>
    <col min="272" max="272" width="16.5703125" style="14" bestFit="1" customWidth="1"/>
    <col min="273" max="273" width="1.85546875" style="14" customWidth="1"/>
    <col min="274" max="274" width="12.5703125" style="14" bestFit="1" customWidth="1"/>
    <col min="275" max="275" width="14.140625" style="14" bestFit="1" customWidth="1"/>
    <col min="276" max="276" width="12.5703125" style="14" bestFit="1" customWidth="1"/>
    <col min="277" max="277" width="9.5703125" style="14" customWidth="1"/>
    <col min="278" max="278" width="14.140625" style="14" bestFit="1" customWidth="1"/>
    <col min="279" max="279" width="11" style="14" bestFit="1" customWidth="1"/>
    <col min="280" max="280" width="11.42578125" style="14" customWidth="1"/>
    <col min="281" max="281" width="1.5703125" style="14" customWidth="1"/>
    <col min="282" max="282" width="16.5703125" style="14" bestFit="1" customWidth="1"/>
    <col min="283" max="283" width="1.5703125" style="14" customWidth="1"/>
    <col min="284" max="284" width="9.28515625" style="14" customWidth="1"/>
    <col min="285" max="285" width="0.85546875" style="14" customWidth="1"/>
    <col min="286" max="286" width="16.5703125" style="14" bestFit="1" customWidth="1"/>
    <col min="287" max="295" width="11.7109375" style="14" customWidth="1"/>
    <col min="296" max="514" width="17.28515625" style="14"/>
    <col min="515" max="515" width="4" style="14" customWidth="1"/>
    <col min="516" max="516" width="32.5703125" style="14" customWidth="1"/>
    <col min="517" max="517" width="9.42578125" style="14" bestFit="1" customWidth="1"/>
    <col min="518" max="518" width="20.85546875" style="14" customWidth="1"/>
    <col min="519" max="519" width="18" style="14" customWidth="1"/>
    <col min="520" max="520" width="2" style="14" customWidth="1"/>
    <col min="521" max="521" width="16.5703125" style="14" bestFit="1" customWidth="1"/>
    <col min="522" max="522" width="12.5703125" style="14" bestFit="1" customWidth="1"/>
    <col min="523" max="523" width="12.28515625" style="14" customWidth="1"/>
    <col min="524" max="524" width="10.28515625" style="14" bestFit="1" customWidth="1"/>
    <col min="525" max="525" width="12" style="14" bestFit="1" customWidth="1"/>
    <col min="526" max="526" width="16.5703125" style="14" bestFit="1" customWidth="1"/>
    <col min="527" max="527" width="13.5703125" style="14" customWidth="1"/>
    <col min="528" max="528" width="16.5703125" style="14" bestFit="1" customWidth="1"/>
    <col min="529" max="529" width="1.85546875" style="14" customWidth="1"/>
    <col min="530" max="530" width="12.5703125" style="14" bestFit="1" customWidth="1"/>
    <col min="531" max="531" width="14.140625" style="14" bestFit="1" customWidth="1"/>
    <col min="532" max="532" width="12.5703125" style="14" bestFit="1" customWidth="1"/>
    <col min="533" max="533" width="9.5703125" style="14" customWidth="1"/>
    <col min="534" max="534" width="14.140625" style="14" bestFit="1" customWidth="1"/>
    <col min="535" max="535" width="11" style="14" bestFit="1" customWidth="1"/>
    <col min="536" max="536" width="11.42578125" style="14" customWidth="1"/>
    <col min="537" max="537" width="1.5703125" style="14" customWidth="1"/>
    <col min="538" max="538" width="16.5703125" style="14" bestFit="1" customWidth="1"/>
    <col min="539" max="539" width="1.5703125" style="14" customWidth="1"/>
    <col min="540" max="540" width="9.28515625" style="14" customWidth="1"/>
    <col min="541" max="541" width="0.85546875" style="14" customWidth="1"/>
    <col min="542" max="542" width="16.5703125" style="14" bestFit="1" customWidth="1"/>
    <col min="543" max="551" width="11.7109375" style="14" customWidth="1"/>
    <col min="552" max="770" width="17.28515625" style="14"/>
    <col min="771" max="771" width="4" style="14" customWidth="1"/>
    <col min="772" max="772" width="32.5703125" style="14" customWidth="1"/>
    <col min="773" max="773" width="9.42578125" style="14" bestFit="1" customWidth="1"/>
    <col min="774" max="774" width="20.85546875" style="14" customWidth="1"/>
    <col min="775" max="775" width="18" style="14" customWidth="1"/>
    <col min="776" max="776" width="2" style="14" customWidth="1"/>
    <col min="777" max="777" width="16.5703125" style="14" bestFit="1" customWidth="1"/>
    <col min="778" max="778" width="12.5703125" style="14" bestFit="1" customWidth="1"/>
    <col min="779" max="779" width="12.28515625" style="14" customWidth="1"/>
    <col min="780" max="780" width="10.28515625" style="14" bestFit="1" customWidth="1"/>
    <col min="781" max="781" width="12" style="14" bestFit="1" customWidth="1"/>
    <col min="782" max="782" width="16.5703125" style="14" bestFit="1" customWidth="1"/>
    <col min="783" max="783" width="13.5703125" style="14" customWidth="1"/>
    <col min="784" max="784" width="16.5703125" style="14" bestFit="1" customWidth="1"/>
    <col min="785" max="785" width="1.85546875" style="14" customWidth="1"/>
    <col min="786" max="786" width="12.5703125" style="14" bestFit="1" customWidth="1"/>
    <col min="787" max="787" width="14.140625" style="14" bestFit="1" customWidth="1"/>
    <col min="788" max="788" width="12.5703125" style="14" bestFit="1" customWidth="1"/>
    <col min="789" max="789" width="9.5703125" style="14" customWidth="1"/>
    <col min="790" max="790" width="14.140625" style="14" bestFit="1" customWidth="1"/>
    <col min="791" max="791" width="11" style="14" bestFit="1" customWidth="1"/>
    <col min="792" max="792" width="11.42578125" style="14" customWidth="1"/>
    <col min="793" max="793" width="1.5703125" style="14" customWidth="1"/>
    <col min="794" max="794" width="16.5703125" style="14" bestFit="1" customWidth="1"/>
    <col min="795" max="795" width="1.5703125" style="14" customWidth="1"/>
    <col min="796" max="796" width="9.28515625" style="14" customWidth="1"/>
    <col min="797" max="797" width="0.85546875" style="14" customWidth="1"/>
    <col min="798" max="798" width="16.5703125" style="14" bestFit="1" customWidth="1"/>
    <col min="799" max="807" width="11.7109375" style="14" customWidth="1"/>
    <col min="808" max="1026" width="17.28515625" style="14"/>
    <col min="1027" max="1027" width="4" style="14" customWidth="1"/>
    <col min="1028" max="1028" width="32.5703125" style="14" customWidth="1"/>
    <col min="1029" max="1029" width="9.42578125" style="14" bestFit="1" customWidth="1"/>
    <col min="1030" max="1030" width="20.85546875" style="14" customWidth="1"/>
    <col min="1031" max="1031" width="18" style="14" customWidth="1"/>
    <col min="1032" max="1032" width="2" style="14" customWidth="1"/>
    <col min="1033" max="1033" width="16.5703125" style="14" bestFit="1" customWidth="1"/>
    <col min="1034" max="1034" width="12.5703125" style="14" bestFit="1" customWidth="1"/>
    <col min="1035" max="1035" width="12.28515625" style="14" customWidth="1"/>
    <col min="1036" max="1036" width="10.28515625" style="14" bestFit="1" customWidth="1"/>
    <col min="1037" max="1037" width="12" style="14" bestFit="1" customWidth="1"/>
    <col min="1038" max="1038" width="16.5703125" style="14" bestFit="1" customWidth="1"/>
    <col min="1039" max="1039" width="13.5703125" style="14" customWidth="1"/>
    <col min="1040" max="1040" width="16.5703125" style="14" bestFit="1" customWidth="1"/>
    <col min="1041" max="1041" width="1.85546875" style="14" customWidth="1"/>
    <col min="1042" max="1042" width="12.5703125" style="14" bestFit="1" customWidth="1"/>
    <col min="1043" max="1043" width="14.140625" style="14" bestFit="1" customWidth="1"/>
    <col min="1044" max="1044" width="12.5703125" style="14" bestFit="1" customWidth="1"/>
    <col min="1045" max="1045" width="9.5703125" style="14" customWidth="1"/>
    <col min="1046" max="1046" width="14.140625" style="14" bestFit="1" customWidth="1"/>
    <col min="1047" max="1047" width="11" style="14" bestFit="1" customWidth="1"/>
    <col min="1048" max="1048" width="11.42578125" style="14" customWidth="1"/>
    <col min="1049" max="1049" width="1.5703125" style="14" customWidth="1"/>
    <col min="1050" max="1050" width="16.5703125" style="14" bestFit="1" customWidth="1"/>
    <col min="1051" max="1051" width="1.5703125" style="14" customWidth="1"/>
    <col min="1052" max="1052" width="9.28515625" style="14" customWidth="1"/>
    <col min="1053" max="1053" width="0.85546875" style="14" customWidth="1"/>
    <col min="1054" max="1054" width="16.5703125" style="14" bestFit="1" customWidth="1"/>
    <col min="1055" max="1063" width="11.7109375" style="14" customWidth="1"/>
    <col min="1064" max="1282" width="17.28515625" style="14"/>
    <col min="1283" max="1283" width="4" style="14" customWidth="1"/>
    <col min="1284" max="1284" width="32.5703125" style="14" customWidth="1"/>
    <col min="1285" max="1285" width="9.42578125" style="14" bestFit="1" customWidth="1"/>
    <col min="1286" max="1286" width="20.85546875" style="14" customWidth="1"/>
    <col min="1287" max="1287" width="18" style="14" customWidth="1"/>
    <col min="1288" max="1288" width="2" style="14" customWidth="1"/>
    <col min="1289" max="1289" width="16.5703125" style="14" bestFit="1" customWidth="1"/>
    <col min="1290" max="1290" width="12.5703125" style="14" bestFit="1" customWidth="1"/>
    <col min="1291" max="1291" width="12.28515625" style="14" customWidth="1"/>
    <col min="1292" max="1292" width="10.28515625" style="14" bestFit="1" customWidth="1"/>
    <col min="1293" max="1293" width="12" style="14" bestFit="1" customWidth="1"/>
    <col min="1294" max="1294" width="16.5703125" style="14" bestFit="1" customWidth="1"/>
    <col min="1295" max="1295" width="13.5703125" style="14" customWidth="1"/>
    <col min="1296" max="1296" width="16.5703125" style="14" bestFit="1" customWidth="1"/>
    <col min="1297" max="1297" width="1.85546875" style="14" customWidth="1"/>
    <col min="1298" max="1298" width="12.5703125" style="14" bestFit="1" customWidth="1"/>
    <col min="1299" max="1299" width="14.140625" style="14" bestFit="1" customWidth="1"/>
    <col min="1300" max="1300" width="12.5703125" style="14" bestFit="1" customWidth="1"/>
    <col min="1301" max="1301" width="9.5703125" style="14" customWidth="1"/>
    <col min="1302" max="1302" width="14.140625" style="14" bestFit="1" customWidth="1"/>
    <col min="1303" max="1303" width="11" style="14" bestFit="1" customWidth="1"/>
    <col min="1304" max="1304" width="11.42578125" style="14" customWidth="1"/>
    <col min="1305" max="1305" width="1.5703125" style="14" customWidth="1"/>
    <col min="1306" max="1306" width="16.5703125" style="14" bestFit="1" customWidth="1"/>
    <col min="1307" max="1307" width="1.5703125" style="14" customWidth="1"/>
    <col min="1308" max="1308" width="9.28515625" style="14" customWidth="1"/>
    <col min="1309" max="1309" width="0.85546875" style="14" customWidth="1"/>
    <col min="1310" max="1310" width="16.5703125" style="14" bestFit="1" customWidth="1"/>
    <col min="1311" max="1319" width="11.7109375" style="14" customWidth="1"/>
    <col min="1320" max="1538" width="17.28515625" style="14"/>
    <col min="1539" max="1539" width="4" style="14" customWidth="1"/>
    <col min="1540" max="1540" width="32.5703125" style="14" customWidth="1"/>
    <col min="1541" max="1541" width="9.42578125" style="14" bestFit="1" customWidth="1"/>
    <col min="1542" max="1542" width="20.85546875" style="14" customWidth="1"/>
    <col min="1543" max="1543" width="18" style="14" customWidth="1"/>
    <col min="1544" max="1544" width="2" style="14" customWidth="1"/>
    <col min="1545" max="1545" width="16.5703125" style="14" bestFit="1" customWidth="1"/>
    <col min="1546" max="1546" width="12.5703125" style="14" bestFit="1" customWidth="1"/>
    <col min="1547" max="1547" width="12.28515625" style="14" customWidth="1"/>
    <col min="1548" max="1548" width="10.28515625" style="14" bestFit="1" customWidth="1"/>
    <col min="1549" max="1549" width="12" style="14" bestFit="1" customWidth="1"/>
    <col min="1550" max="1550" width="16.5703125" style="14" bestFit="1" customWidth="1"/>
    <col min="1551" max="1551" width="13.5703125" style="14" customWidth="1"/>
    <col min="1552" max="1552" width="16.5703125" style="14" bestFit="1" customWidth="1"/>
    <col min="1553" max="1553" width="1.85546875" style="14" customWidth="1"/>
    <col min="1554" max="1554" width="12.5703125" style="14" bestFit="1" customWidth="1"/>
    <col min="1555" max="1555" width="14.140625" style="14" bestFit="1" customWidth="1"/>
    <col min="1556" max="1556" width="12.5703125" style="14" bestFit="1" customWidth="1"/>
    <col min="1557" max="1557" width="9.5703125" style="14" customWidth="1"/>
    <col min="1558" max="1558" width="14.140625" style="14" bestFit="1" customWidth="1"/>
    <col min="1559" max="1559" width="11" style="14" bestFit="1" customWidth="1"/>
    <col min="1560" max="1560" width="11.42578125" style="14" customWidth="1"/>
    <col min="1561" max="1561" width="1.5703125" style="14" customWidth="1"/>
    <col min="1562" max="1562" width="16.5703125" style="14" bestFit="1" customWidth="1"/>
    <col min="1563" max="1563" width="1.5703125" style="14" customWidth="1"/>
    <col min="1564" max="1564" width="9.28515625" style="14" customWidth="1"/>
    <col min="1565" max="1565" width="0.85546875" style="14" customWidth="1"/>
    <col min="1566" max="1566" width="16.5703125" style="14" bestFit="1" customWidth="1"/>
    <col min="1567" max="1575" width="11.7109375" style="14" customWidth="1"/>
    <col min="1576" max="1794" width="17.28515625" style="14"/>
    <col min="1795" max="1795" width="4" style="14" customWidth="1"/>
    <col min="1796" max="1796" width="32.5703125" style="14" customWidth="1"/>
    <col min="1797" max="1797" width="9.42578125" style="14" bestFit="1" customWidth="1"/>
    <col min="1798" max="1798" width="20.85546875" style="14" customWidth="1"/>
    <col min="1799" max="1799" width="18" style="14" customWidth="1"/>
    <col min="1800" max="1800" width="2" style="14" customWidth="1"/>
    <col min="1801" max="1801" width="16.5703125" style="14" bestFit="1" customWidth="1"/>
    <col min="1802" max="1802" width="12.5703125" style="14" bestFit="1" customWidth="1"/>
    <col min="1803" max="1803" width="12.28515625" style="14" customWidth="1"/>
    <col min="1804" max="1804" width="10.28515625" style="14" bestFit="1" customWidth="1"/>
    <col min="1805" max="1805" width="12" style="14" bestFit="1" customWidth="1"/>
    <col min="1806" max="1806" width="16.5703125" style="14" bestFit="1" customWidth="1"/>
    <col min="1807" max="1807" width="13.5703125" style="14" customWidth="1"/>
    <col min="1808" max="1808" width="16.5703125" style="14" bestFit="1" customWidth="1"/>
    <col min="1809" max="1809" width="1.85546875" style="14" customWidth="1"/>
    <col min="1810" max="1810" width="12.5703125" style="14" bestFit="1" customWidth="1"/>
    <col min="1811" max="1811" width="14.140625" style="14" bestFit="1" customWidth="1"/>
    <col min="1812" max="1812" width="12.5703125" style="14" bestFit="1" customWidth="1"/>
    <col min="1813" max="1813" width="9.5703125" style="14" customWidth="1"/>
    <col min="1814" max="1814" width="14.140625" style="14" bestFit="1" customWidth="1"/>
    <col min="1815" max="1815" width="11" style="14" bestFit="1" customWidth="1"/>
    <col min="1816" max="1816" width="11.42578125" style="14" customWidth="1"/>
    <col min="1817" max="1817" width="1.5703125" style="14" customWidth="1"/>
    <col min="1818" max="1818" width="16.5703125" style="14" bestFit="1" customWidth="1"/>
    <col min="1819" max="1819" width="1.5703125" style="14" customWidth="1"/>
    <col min="1820" max="1820" width="9.28515625" style="14" customWidth="1"/>
    <col min="1821" max="1821" width="0.85546875" style="14" customWidth="1"/>
    <col min="1822" max="1822" width="16.5703125" style="14" bestFit="1" customWidth="1"/>
    <col min="1823" max="1831" width="11.7109375" style="14" customWidth="1"/>
    <col min="1832" max="2050" width="17.28515625" style="14"/>
    <col min="2051" max="2051" width="4" style="14" customWidth="1"/>
    <col min="2052" max="2052" width="32.5703125" style="14" customWidth="1"/>
    <col min="2053" max="2053" width="9.42578125" style="14" bestFit="1" customWidth="1"/>
    <col min="2054" max="2054" width="20.85546875" style="14" customWidth="1"/>
    <col min="2055" max="2055" width="18" style="14" customWidth="1"/>
    <col min="2056" max="2056" width="2" style="14" customWidth="1"/>
    <col min="2057" max="2057" width="16.5703125" style="14" bestFit="1" customWidth="1"/>
    <col min="2058" max="2058" width="12.5703125" style="14" bestFit="1" customWidth="1"/>
    <col min="2059" max="2059" width="12.28515625" style="14" customWidth="1"/>
    <col min="2060" max="2060" width="10.28515625" style="14" bestFit="1" customWidth="1"/>
    <col min="2061" max="2061" width="12" style="14" bestFit="1" customWidth="1"/>
    <col min="2062" max="2062" width="16.5703125" style="14" bestFit="1" customWidth="1"/>
    <col min="2063" max="2063" width="13.5703125" style="14" customWidth="1"/>
    <col min="2064" max="2064" width="16.5703125" style="14" bestFit="1" customWidth="1"/>
    <col min="2065" max="2065" width="1.85546875" style="14" customWidth="1"/>
    <col min="2066" max="2066" width="12.5703125" style="14" bestFit="1" customWidth="1"/>
    <col min="2067" max="2067" width="14.140625" style="14" bestFit="1" customWidth="1"/>
    <col min="2068" max="2068" width="12.5703125" style="14" bestFit="1" customWidth="1"/>
    <col min="2069" max="2069" width="9.5703125" style="14" customWidth="1"/>
    <col min="2070" max="2070" width="14.140625" style="14" bestFit="1" customWidth="1"/>
    <col min="2071" max="2071" width="11" style="14" bestFit="1" customWidth="1"/>
    <col min="2072" max="2072" width="11.42578125" style="14" customWidth="1"/>
    <col min="2073" max="2073" width="1.5703125" style="14" customWidth="1"/>
    <col min="2074" max="2074" width="16.5703125" style="14" bestFit="1" customWidth="1"/>
    <col min="2075" max="2075" width="1.5703125" style="14" customWidth="1"/>
    <col min="2076" max="2076" width="9.28515625" style="14" customWidth="1"/>
    <col min="2077" max="2077" width="0.85546875" style="14" customWidth="1"/>
    <col min="2078" max="2078" width="16.5703125" style="14" bestFit="1" customWidth="1"/>
    <col min="2079" max="2087" width="11.7109375" style="14" customWidth="1"/>
    <col min="2088" max="2306" width="17.28515625" style="14"/>
    <col min="2307" max="2307" width="4" style="14" customWidth="1"/>
    <col min="2308" max="2308" width="32.5703125" style="14" customWidth="1"/>
    <col min="2309" max="2309" width="9.42578125" style="14" bestFit="1" customWidth="1"/>
    <col min="2310" max="2310" width="20.85546875" style="14" customWidth="1"/>
    <col min="2311" max="2311" width="18" style="14" customWidth="1"/>
    <col min="2312" max="2312" width="2" style="14" customWidth="1"/>
    <col min="2313" max="2313" width="16.5703125" style="14" bestFit="1" customWidth="1"/>
    <col min="2314" max="2314" width="12.5703125" style="14" bestFit="1" customWidth="1"/>
    <col min="2315" max="2315" width="12.28515625" style="14" customWidth="1"/>
    <col min="2316" max="2316" width="10.28515625" style="14" bestFit="1" customWidth="1"/>
    <col min="2317" max="2317" width="12" style="14" bestFit="1" customWidth="1"/>
    <col min="2318" max="2318" width="16.5703125" style="14" bestFit="1" customWidth="1"/>
    <col min="2319" max="2319" width="13.5703125" style="14" customWidth="1"/>
    <col min="2320" max="2320" width="16.5703125" style="14" bestFit="1" customWidth="1"/>
    <col min="2321" max="2321" width="1.85546875" style="14" customWidth="1"/>
    <col min="2322" max="2322" width="12.5703125" style="14" bestFit="1" customWidth="1"/>
    <col min="2323" max="2323" width="14.140625" style="14" bestFit="1" customWidth="1"/>
    <col min="2324" max="2324" width="12.5703125" style="14" bestFit="1" customWidth="1"/>
    <col min="2325" max="2325" width="9.5703125" style="14" customWidth="1"/>
    <col min="2326" max="2326" width="14.140625" style="14" bestFit="1" customWidth="1"/>
    <col min="2327" max="2327" width="11" style="14" bestFit="1" customWidth="1"/>
    <col min="2328" max="2328" width="11.42578125" style="14" customWidth="1"/>
    <col min="2329" max="2329" width="1.5703125" style="14" customWidth="1"/>
    <col min="2330" max="2330" width="16.5703125" style="14" bestFit="1" customWidth="1"/>
    <col min="2331" max="2331" width="1.5703125" style="14" customWidth="1"/>
    <col min="2332" max="2332" width="9.28515625" style="14" customWidth="1"/>
    <col min="2333" max="2333" width="0.85546875" style="14" customWidth="1"/>
    <col min="2334" max="2334" width="16.5703125" style="14" bestFit="1" customWidth="1"/>
    <col min="2335" max="2343" width="11.7109375" style="14" customWidth="1"/>
    <col min="2344" max="2562" width="17.28515625" style="14"/>
    <col min="2563" max="2563" width="4" style="14" customWidth="1"/>
    <col min="2564" max="2564" width="32.5703125" style="14" customWidth="1"/>
    <col min="2565" max="2565" width="9.42578125" style="14" bestFit="1" customWidth="1"/>
    <col min="2566" max="2566" width="20.85546875" style="14" customWidth="1"/>
    <col min="2567" max="2567" width="18" style="14" customWidth="1"/>
    <col min="2568" max="2568" width="2" style="14" customWidth="1"/>
    <col min="2569" max="2569" width="16.5703125" style="14" bestFit="1" customWidth="1"/>
    <col min="2570" max="2570" width="12.5703125" style="14" bestFit="1" customWidth="1"/>
    <col min="2571" max="2571" width="12.28515625" style="14" customWidth="1"/>
    <col min="2572" max="2572" width="10.28515625" style="14" bestFit="1" customWidth="1"/>
    <col min="2573" max="2573" width="12" style="14" bestFit="1" customWidth="1"/>
    <col min="2574" max="2574" width="16.5703125" style="14" bestFit="1" customWidth="1"/>
    <col min="2575" max="2575" width="13.5703125" style="14" customWidth="1"/>
    <col min="2576" max="2576" width="16.5703125" style="14" bestFit="1" customWidth="1"/>
    <col min="2577" max="2577" width="1.85546875" style="14" customWidth="1"/>
    <col min="2578" max="2578" width="12.5703125" style="14" bestFit="1" customWidth="1"/>
    <col min="2579" max="2579" width="14.140625" style="14" bestFit="1" customWidth="1"/>
    <col min="2580" max="2580" width="12.5703125" style="14" bestFit="1" customWidth="1"/>
    <col min="2581" max="2581" width="9.5703125" style="14" customWidth="1"/>
    <col min="2582" max="2582" width="14.140625" style="14" bestFit="1" customWidth="1"/>
    <col min="2583" max="2583" width="11" style="14" bestFit="1" customWidth="1"/>
    <col min="2584" max="2584" width="11.42578125" style="14" customWidth="1"/>
    <col min="2585" max="2585" width="1.5703125" style="14" customWidth="1"/>
    <col min="2586" max="2586" width="16.5703125" style="14" bestFit="1" customWidth="1"/>
    <col min="2587" max="2587" width="1.5703125" style="14" customWidth="1"/>
    <col min="2588" max="2588" width="9.28515625" style="14" customWidth="1"/>
    <col min="2589" max="2589" width="0.85546875" style="14" customWidth="1"/>
    <col min="2590" max="2590" width="16.5703125" style="14" bestFit="1" customWidth="1"/>
    <col min="2591" max="2599" width="11.7109375" style="14" customWidth="1"/>
    <col min="2600" max="2818" width="17.28515625" style="14"/>
    <col min="2819" max="2819" width="4" style="14" customWidth="1"/>
    <col min="2820" max="2820" width="32.5703125" style="14" customWidth="1"/>
    <col min="2821" max="2821" width="9.42578125" style="14" bestFit="1" customWidth="1"/>
    <col min="2822" max="2822" width="20.85546875" style="14" customWidth="1"/>
    <col min="2823" max="2823" width="18" style="14" customWidth="1"/>
    <col min="2824" max="2824" width="2" style="14" customWidth="1"/>
    <col min="2825" max="2825" width="16.5703125" style="14" bestFit="1" customWidth="1"/>
    <col min="2826" max="2826" width="12.5703125" style="14" bestFit="1" customWidth="1"/>
    <col min="2827" max="2827" width="12.28515625" style="14" customWidth="1"/>
    <col min="2828" max="2828" width="10.28515625" style="14" bestFit="1" customWidth="1"/>
    <col min="2829" max="2829" width="12" style="14" bestFit="1" customWidth="1"/>
    <col min="2830" max="2830" width="16.5703125" style="14" bestFit="1" customWidth="1"/>
    <col min="2831" max="2831" width="13.5703125" style="14" customWidth="1"/>
    <col min="2832" max="2832" width="16.5703125" style="14" bestFit="1" customWidth="1"/>
    <col min="2833" max="2833" width="1.85546875" style="14" customWidth="1"/>
    <col min="2834" max="2834" width="12.5703125" style="14" bestFit="1" customWidth="1"/>
    <col min="2835" max="2835" width="14.140625" style="14" bestFit="1" customWidth="1"/>
    <col min="2836" max="2836" width="12.5703125" style="14" bestFit="1" customWidth="1"/>
    <col min="2837" max="2837" width="9.5703125" style="14" customWidth="1"/>
    <col min="2838" max="2838" width="14.140625" style="14" bestFit="1" customWidth="1"/>
    <col min="2839" max="2839" width="11" style="14" bestFit="1" customWidth="1"/>
    <col min="2840" max="2840" width="11.42578125" style="14" customWidth="1"/>
    <col min="2841" max="2841" width="1.5703125" style="14" customWidth="1"/>
    <col min="2842" max="2842" width="16.5703125" style="14" bestFit="1" customWidth="1"/>
    <col min="2843" max="2843" width="1.5703125" style="14" customWidth="1"/>
    <col min="2844" max="2844" width="9.28515625" style="14" customWidth="1"/>
    <col min="2845" max="2845" width="0.85546875" style="14" customWidth="1"/>
    <col min="2846" max="2846" width="16.5703125" style="14" bestFit="1" customWidth="1"/>
    <col min="2847" max="2855" width="11.7109375" style="14" customWidth="1"/>
    <col min="2856" max="3074" width="17.28515625" style="14"/>
    <col min="3075" max="3075" width="4" style="14" customWidth="1"/>
    <col min="3076" max="3076" width="32.5703125" style="14" customWidth="1"/>
    <col min="3077" max="3077" width="9.42578125" style="14" bestFit="1" customWidth="1"/>
    <col min="3078" max="3078" width="20.85546875" style="14" customWidth="1"/>
    <col min="3079" max="3079" width="18" style="14" customWidth="1"/>
    <col min="3080" max="3080" width="2" style="14" customWidth="1"/>
    <col min="3081" max="3081" width="16.5703125" style="14" bestFit="1" customWidth="1"/>
    <col min="3082" max="3082" width="12.5703125" style="14" bestFit="1" customWidth="1"/>
    <col min="3083" max="3083" width="12.28515625" style="14" customWidth="1"/>
    <col min="3084" max="3084" width="10.28515625" style="14" bestFit="1" customWidth="1"/>
    <col min="3085" max="3085" width="12" style="14" bestFit="1" customWidth="1"/>
    <col min="3086" max="3086" width="16.5703125" style="14" bestFit="1" customWidth="1"/>
    <col min="3087" max="3087" width="13.5703125" style="14" customWidth="1"/>
    <col min="3088" max="3088" width="16.5703125" style="14" bestFit="1" customWidth="1"/>
    <col min="3089" max="3089" width="1.85546875" style="14" customWidth="1"/>
    <col min="3090" max="3090" width="12.5703125" style="14" bestFit="1" customWidth="1"/>
    <col min="3091" max="3091" width="14.140625" style="14" bestFit="1" customWidth="1"/>
    <col min="3092" max="3092" width="12.5703125" style="14" bestFit="1" customWidth="1"/>
    <col min="3093" max="3093" width="9.5703125" style="14" customWidth="1"/>
    <col min="3094" max="3094" width="14.140625" style="14" bestFit="1" customWidth="1"/>
    <col min="3095" max="3095" width="11" style="14" bestFit="1" customWidth="1"/>
    <col min="3096" max="3096" width="11.42578125" style="14" customWidth="1"/>
    <col min="3097" max="3097" width="1.5703125" style="14" customWidth="1"/>
    <col min="3098" max="3098" width="16.5703125" style="14" bestFit="1" customWidth="1"/>
    <col min="3099" max="3099" width="1.5703125" style="14" customWidth="1"/>
    <col min="3100" max="3100" width="9.28515625" style="14" customWidth="1"/>
    <col min="3101" max="3101" width="0.85546875" style="14" customWidth="1"/>
    <col min="3102" max="3102" width="16.5703125" style="14" bestFit="1" customWidth="1"/>
    <col min="3103" max="3111" width="11.7109375" style="14" customWidth="1"/>
    <col min="3112" max="3330" width="17.28515625" style="14"/>
    <col min="3331" max="3331" width="4" style="14" customWidth="1"/>
    <col min="3332" max="3332" width="32.5703125" style="14" customWidth="1"/>
    <col min="3333" max="3333" width="9.42578125" style="14" bestFit="1" customWidth="1"/>
    <col min="3334" max="3334" width="20.85546875" style="14" customWidth="1"/>
    <col min="3335" max="3335" width="18" style="14" customWidth="1"/>
    <col min="3336" max="3336" width="2" style="14" customWidth="1"/>
    <col min="3337" max="3337" width="16.5703125" style="14" bestFit="1" customWidth="1"/>
    <col min="3338" max="3338" width="12.5703125" style="14" bestFit="1" customWidth="1"/>
    <col min="3339" max="3339" width="12.28515625" style="14" customWidth="1"/>
    <col min="3340" max="3340" width="10.28515625" style="14" bestFit="1" customWidth="1"/>
    <col min="3341" max="3341" width="12" style="14" bestFit="1" customWidth="1"/>
    <col min="3342" max="3342" width="16.5703125" style="14" bestFit="1" customWidth="1"/>
    <col min="3343" max="3343" width="13.5703125" style="14" customWidth="1"/>
    <col min="3344" max="3344" width="16.5703125" style="14" bestFit="1" customWidth="1"/>
    <col min="3345" max="3345" width="1.85546875" style="14" customWidth="1"/>
    <col min="3346" max="3346" width="12.5703125" style="14" bestFit="1" customWidth="1"/>
    <col min="3347" max="3347" width="14.140625" style="14" bestFit="1" customWidth="1"/>
    <col min="3348" max="3348" width="12.5703125" style="14" bestFit="1" customWidth="1"/>
    <col min="3349" max="3349" width="9.5703125" style="14" customWidth="1"/>
    <col min="3350" max="3350" width="14.140625" style="14" bestFit="1" customWidth="1"/>
    <col min="3351" max="3351" width="11" style="14" bestFit="1" customWidth="1"/>
    <col min="3352" max="3352" width="11.42578125" style="14" customWidth="1"/>
    <col min="3353" max="3353" width="1.5703125" style="14" customWidth="1"/>
    <col min="3354" max="3354" width="16.5703125" style="14" bestFit="1" customWidth="1"/>
    <col min="3355" max="3355" width="1.5703125" style="14" customWidth="1"/>
    <col min="3356" max="3356" width="9.28515625" style="14" customWidth="1"/>
    <col min="3357" max="3357" width="0.85546875" style="14" customWidth="1"/>
    <col min="3358" max="3358" width="16.5703125" style="14" bestFit="1" customWidth="1"/>
    <col min="3359" max="3367" width="11.7109375" style="14" customWidth="1"/>
    <col min="3368" max="3586" width="17.28515625" style="14"/>
    <col min="3587" max="3587" width="4" style="14" customWidth="1"/>
    <col min="3588" max="3588" width="32.5703125" style="14" customWidth="1"/>
    <col min="3589" max="3589" width="9.42578125" style="14" bestFit="1" customWidth="1"/>
    <col min="3590" max="3590" width="20.85546875" style="14" customWidth="1"/>
    <col min="3591" max="3591" width="18" style="14" customWidth="1"/>
    <col min="3592" max="3592" width="2" style="14" customWidth="1"/>
    <col min="3593" max="3593" width="16.5703125" style="14" bestFit="1" customWidth="1"/>
    <col min="3594" max="3594" width="12.5703125" style="14" bestFit="1" customWidth="1"/>
    <col min="3595" max="3595" width="12.28515625" style="14" customWidth="1"/>
    <col min="3596" max="3596" width="10.28515625" style="14" bestFit="1" customWidth="1"/>
    <col min="3597" max="3597" width="12" style="14" bestFit="1" customWidth="1"/>
    <col min="3598" max="3598" width="16.5703125" style="14" bestFit="1" customWidth="1"/>
    <col min="3599" max="3599" width="13.5703125" style="14" customWidth="1"/>
    <col min="3600" max="3600" width="16.5703125" style="14" bestFit="1" customWidth="1"/>
    <col min="3601" max="3601" width="1.85546875" style="14" customWidth="1"/>
    <col min="3602" max="3602" width="12.5703125" style="14" bestFit="1" customWidth="1"/>
    <col min="3603" max="3603" width="14.140625" style="14" bestFit="1" customWidth="1"/>
    <col min="3604" max="3604" width="12.5703125" style="14" bestFit="1" customWidth="1"/>
    <col min="3605" max="3605" width="9.5703125" style="14" customWidth="1"/>
    <col min="3606" max="3606" width="14.140625" style="14" bestFit="1" customWidth="1"/>
    <col min="3607" max="3607" width="11" style="14" bestFit="1" customWidth="1"/>
    <col min="3608" max="3608" width="11.42578125" style="14" customWidth="1"/>
    <col min="3609" max="3609" width="1.5703125" style="14" customWidth="1"/>
    <col min="3610" max="3610" width="16.5703125" style="14" bestFit="1" customWidth="1"/>
    <col min="3611" max="3611" width="1.5703125" style="14" customWidth="1"/>
    <col min="3612" max="3612" width="9.28515625" style="14" customWidth="1"/>
    <col min="3613" max="3613" width="0.85546875" style="14" customWidth="1"/>
    <col min="3614" max="3614" width="16.5703125" style="14" bestFit="1" customWidth="1"/>
    <col min="3615" max="3623" width="11.7109375" style="14" customWidth="1"/>
    <col min="3624" max="3842" width="17.28515625" style="14"/>
    <col min="3843" max="3843" width="4" style="14" customWidth="1"/>
    <col min="3844" max="3844" width="32.5703125" style="14" customWidth="1"/>
    <col min="3845" max="3845" width="9.42578125" style="14" bestFit="1" customWidth="1"/>
    <col min="3846" max="3846" width="20.85546875" style="14" customWidth="1"/>
    <col min="3847" max="3847" width="18" style="14" customWidth="1"/>
    <col min="3848" max="3848" width="2" style="14" customWidth="1"/>
    <col min="3849" max="3849" width="16.5703125" style="14" bestFit="1" customWidth="1"/>
    <col min="3850" max="3850" width="12.5703125" style="14" bestFit="1" customWidth="1"/>
    <col min="3851" max="3851" width="12.28515625" style="14" customWidth="1"/>
    <col min="3852" max="3852" width="10.28515625" style="14" bestFit="1" customWidth="1"/>
    <col min="3853" max="3853" width="12" style="14" bestFit="1" customWidth="1"/>
    <col min="3854" max="3854" width="16.5703125" style="14" bestFit="1" customWidth="1"/>
    <col min="3855" max="3855" width="13.5703125" style="14" customWidth="1"/>
    <col min="3856" max="3856" width="16.5703125" style="14" bestFit="1" customWidth="1"/>
    <col min="3857" max="3857" width="1.85546875" style="14" customWidth="1"/>
    <col min="3858" max="3858" width="12.5703125" style="14" bestFit="1" customWidth="1"/>
    <col min="3859" max="3859" width="14.140625" style="14" bestFit="1" customWidth="1"/>
    <col min="3860" max="3860" width="12.5703125" style="14" bestFit="1" customWidth="1"/>
    <col min="3861" max="3861" width="9.5703125" style="14" customWidth="1"/>
    <col min="3862" max="3862" width="14.140625" style="14" bestFit="1" customWidth="1"/>
    <col min="3863" max="3863" width="11" style="14" bestFit="1" customWidth="1"/>
    <col min="3864" max="3864" width="11.42578125" style="14" customWidth="1"/>
    <col min="3865" max="3865" width="1.5703125" style="14" customWidth="1"/>
    <col min="3866" max="3866" width="16.5703125" style="14" bestFit="1" customWidth="1"/>
    <col min="3867" max="3867" width="1.5703125" style="14" customWidth="1"/>
    <col min="3868" max="3868" width="9.28515625" style="14" customWidth="1"/>
    <col min="3869" max="3869" width="0.85546875" style="14" customWidth="1"/>
    <col min="3870" max="3870" width="16.5703125" style="14" bestFit="1" customWidth="1"/>
    <col min="3871" max="3879" width="11.7109375" style="14" customWidth="1"/>
    <col min="3880" max="4098" width="17.28515625" style="14"/>
    <col min="4099" max="4099" width="4" style="14" customWidth="1"/>
    <col min="4100" max="4100" width="32.5703125" style="14" customWidth="1"/>
    <col min="4101" max="4101" width="9.42578125" style="14" bestFit="1" customWidth="1"/>
    <col min="4102" max="4102" width="20.85546875" style="14" customWidth="1"/>
    <col min="4103" max="4103" width="18" style="14" customWidth="1"/>
    <col min="4104" max="4104" width="2" style="14" customWidth="1"/>
    <col min="4105" max="4105" width="16.5703125" style="14" bestFit="1" customWidth="1"/>
    <col min="4106" max="4106" width="12.5703125" style="14" bestFit="1" customWidth="1"/>
    <col min="4107" max="4107" width="12.28515625" style="14" customWidth="1"/>
    <col min="4108" max="4108" width="10.28515625" style="14" bestFit="1" customWidth="1"/>
    <col min="4109" max="4109" width="12" style="14" bestFit="1" customWidth="1"/>
    <col min="4110" max="4110" width="16.5703125" style="14" bestFit="1" customWidth="1"/>
    <col min="4111" max="4111" width="13.5703125" style="14" customWidth="1"/>
    <col min="4112" max="4112" width="16.5703125" style="14" bestFit="1" customWidth="1"/>
    <col min="4113" max="4113" width="1.85546875" style="14" customWidth="1"/>
    <col min="4114" max="4114" width="12.5703125" style="14" bestFit="1" customWidth="1"/>
    <col min="4115" max="4115" width="14.140625" style="14" bestFit="1" customWidth="1"/>
    <col min="4116" max="4116" width="12.5703125" style="14" bestFit="1" customWidth="1"/>
    <col min="4117" max="4117" width="9.5703125" style="14" customWidth="1"/>
    <col min="4118" max="4118" width="14.140625" style="14" bestFit="1" customWidth="1"/>
    <col min="4119" max="4119" width="11" style="14" bestFit="1" customWidth="1"/>
    <col min="4120" max="4120" width="11.42578125" style="14" customWidth="1"/>
    <col min="4121" max="4121" width="1.5703125" style="14" customWidth="1"/>
    <col min="4122" max="4122" width="16.5703125" style="14" bestFit="1" customWidth="1"/>
    <col min="4123" max="4123" width="1.5703125" style="14" customWidth="1"/>
    <col min="4124" max="4124" width="9.28515625" style="14" customWidth="1"/>
    <col min="4125" max="4125" width="0.85546875" style="14" customWidth="1"/>
    <col min="4126" max="4126" width="16.5703125" style="14" bestFit="1" customWidth="1"/>
    <col min="4127" max="4135" width="11.7109375" style="14" customWidth="1"/>
    <col min="4136" max="4354" width="17.28515625" style="14"/>
    <col min="4355" max="4355" width="4" style="14" customWidth="1"/>
    <col min="4356" max="4356" width="32.5703125" style="14" customWidth="1"/>
    <col min="4357" max="4357" width="9.42578125" style="14" bestFit="1" customWidth="1"/>
    <col min="4358" max="4358" width="20.85546875" style="14" customWidth="1"/>
    <col min="4359" max="4359" width="18" style="14" customWidth="1"/>
    <col min="4360" max="4360" width="2" style="14" customWidth="1"/>
    <col min="4361" max="4361" width="16.5703125" style="14" bestFit="1" customWidth="1"/>
    <col min="4362" max="4362" width="12.5703125" style="14" bestFit="1" customWidth="1"/>
    <col min="4363" max="4363" width="12.28515625" style="14" customWidth="1"/>
    <col min="4364" max="4364" width="10.28515625" style="14" bestFit="1" customWidth="1"/>
    <col min="4365" max="4365" width="12" style="14" bestFit="1" customWidth="1"/>
    <col min="4366" max="4366" width="16.5703125" style="14" bestFit="1" customWidth="1"/>
    <col min="4367" max="4367" width="13.5703125" style="14" customWidth="1"/>
    <col min="4368" max="4368" width="16.5703125" style="14" bestFit="1" customWidth="1"/>
    <col min="4369" max="4369" width="1.85546875" style="14" customWidth="1"/>
    <col min="4370" max="4370" width="12.5703125" style="14" bestFit="1" customWidth="1"/>
    <col min="4371" max="4371" width="14.140625" style="14" bestFit="1" customWidth="1"/>
    <col min="4372" max="4372" width="12.5703125" style="14" bestFit="1" customWidth="1"/>
    <col min="4373" max="4373" width="9.5703125" style="14" customWidth="1"/>
    <col min="4374" max="4374" width="14.140625" style="14" bestFit="1" customWidth="1"/>
    <col min="4375" max="4375" width="11" style="14" bestFit="1" customWidth="1"/>
    <col min="4376" max="4376" width="11.42578125" style="14" customWidth="1"/>
    <col min="4377" max="4377" width="1.5703125" style="14" customWidth="1"/>
    <col min="4378" max="4378" width="16.5703125" style="14" bestFit="1" customWidth="1"/>
    <col min="4379" max="4379" width="1.5703125" style="14" customWidth="1"/>
    <col min="4380" max="4380" width="9.28515625" style="14" customWidth="1"/>
    <col min="4381" max="4381" width="0.85546875" style="14" customWidth="1"/>
    <col min="4382" max="4382" width="16.5703125" style="14" bestFit="1" customWidth="1"/>
    <col min="4383" max="4391" width="11.7109375" style="14" customWidth="1"/>
    <col min="4392" max="4610" width="17.28515625" style="14"/>
    <col min="4611" max="4611" width="4" style="14" customWidth="1"/>
    <col min="4612" max="4612" width="32.5703125" style="14" customWidth="1"/>
    <col min="4613" max="4613" width="9.42578125" style="14" bestFit="1" customWidth="1"/>
    <col min="4614" max="4614" width="20.85546875" style="14" customWidth="1"/>
    <col min="4615" max="4615" width="18" style="14" customWidth="1"/>
    <col min="4616" max="4616" width="2" style="14" customWidth="1"/>
    <col min="4617" max="4617" width="16.5703125" style="14" bestFit="1" customWidth="1"/>
    <col min="4618" max="4618" width="12.5703125" style="14" bestFit="1" customWidth="1"/>
    <col min="4619" max="4619" width="12.28515625" style="14" customWidth="1"/>
    <col min="4620" max="4620" width="10.28515625" style="14" bestFit="1" customWidth="1"/>
    <col min="4621" max="4621" width="12" style="14" bestFit="1" customWidth="1"/>
    <col min="4622" max="4622" width="16.5703125" style="14" bestFit="1" customWidth="1"/>
    <col min="4623" max="4623" width="13.5703125" style="14" customWidth="1"/>
    <col min="4624" max="4624" width="16.5703125" style="14" bestFit="1" customWidth="1"/>
    <col min="4625" max="4625" width="1.85546875" style="14" customWidth="1"/>
    <col min="4626" max="4626" width="12.5703125" style="14" bestFit="1" customWidth="1"/>
    <col min="4627" max="4627" width="14.140625" style="14" bestFit="1" customWidth="1"/>
    <col min="4628" max="4628" width="12.5703125" style="14" bestFit="1" customWidth="1"/>
    <col min="4629" max="4629" width="9.5703125" style="14" customWidth="1"/>
    <col min="4630" max="4630" width="14.140625" style="14" bestFit="1" customWidth="1"/>
    <col min="4631" max="4631" width="11" style="14" bestFit="1" customWidth="1"/>
    <col min="4632" max="4632" width="11.42578125" style="14" customWidth="1"/>
    <col min="4633" max="4633" width="1.5703125" style="14" customWidth="1"/>
    <col min="4634" max="4634" width="16.5703125" style="14" bestFit="1" customWidth="1"/>
    <col min="4635" max="4635" width="1.5703125" style="14" customWidth="1"/>
    <col min="4636" max="4636" width="9.28515625" style="14" customWidth="1"/>
    <col min="4637" max="4637" width="0.85546875" style="14" customWidth="1"/>
    <col min="4638" max="4638" width="16.5703125" style="14" bestFit="1" customWidth="1"/>
    <col min="4639" max="4647" width="11.7109375" style="14" customWidth="1"/>
    <col min="4648" max="4866" width="17.28515625" style="14"/>
    <col min="4867" max="4867" width="4" style="14" customWidth="1"/>
    <col min="4868" max="4868" width="32.5703125" style="14" customWidth="1"/>
    <col min="4869" max="4869" width="9.42578125" style="14" bestFit="1" customWidth="1"/>
    <col min="4870" max="4870" width="20.85546875" style="14" customWidth="1"/>
    <col min="4871" max="4871" width="18" style="14" customWidth="1"/>
    <col min="4872" max="4872" width="2" style="14" customWidth="1"/>
    <col min="4873" max="4873" width="16.5703125" style="14" bestFit="1" customWidth="1"/>
    <col min="4874" max="4874" width="12.5703125" style="14" bestFit="1" customWidth="1"/>
    <col min="4875" max="4875" width="12.28515625" style="14" customWidth="1"/>
    <col min="4876" max="4876" width="10.28515625" style="14" bestFit="1" customWidth="1"/>
    <col min="4877" max="4877" width="12" style="14" bestFit="1" customWidth="1"/>
    <col min="4878" max="4878" width="16.5703125" style="14" bestFit="1" customWidth="1"/>
    <col min="4879" max="4879" width="13.5703125" style="14" customWidth="1"/>
    <col min="4880" max="4880" width="16.5703125" style="14" bestFit="1" customWidth="1"/>
    <col min="4881" max="4881" width="1.85546875" style="14" customWidth="1"/>
    <col min="4882" max="4882" width="12.5703125" style="14" bestFit="1" customWidth="1"/>
    <col min="4883" max="4883" width="14.140625" style="14" bestFit="1" customWidth="1"/>
    <col min="4884" max="4884" width="12.5703125" style="14" bestFit="1" customWidth="1"/>
    <col min="4885" max="4885" width="9.5703125" style="14" customWidth="1"/>
    <col min="4886" max="4886" width="14.140625" style="14" bestFit="1" customWidth="1"/>
    <col min="4887" max="4887" width="11" style="14" bestFit="1" customWidth="1"/>
    <col min="4888" max="4888" width="11.42578125" style="14" customWidth="1"/>
    <col min="4889" max="4889" width="1.5703125" style="14" customWidth="1"/>
    <col min="4890" max="4890" width="16.5703125" style="14" bestFit="1" customWidth="1"/>
    <col min="4891" max="4891" width="1.5703125" style="14" customWidth="1"/>
    <col min="4892" max="4892" width="9.28515625" style="14" customWidth="1"/>
    <col min="4893" max="4893" width="0.85546875" style="14" customWidth="1"/>
    <col min="4894" max="4894" width="16.5703125" style="14" bestFit="1" customWidth="1"/>
    <col min="4895" max="4903" width="11.7109375" style="14" customWidth="1"/>
    <col min="4904" max="5122" width="17.28515625" style="14"/>
    <col min="5123" max="5123" width="4" style="14" customWidth="1"/>
    <col min="5124" max="5124" width="32.5703125" style="14" customWidth="1"/>
    <col min="5125" max="5125" width="9.42578125" style="14" bestFit="1" customWidth="1"/>
    <col min="5126" max="5126" width="20.85546875" style="14" customWidth="1"/>
    <col min="5127" max="5127" width="18" style="14" customWidth="1"/>
    <col min="5128" max="5128" width="2" style="14" customWidth="1"/>
    <col min="5129" max="5129" width="16.5703125" style="14" bestFit="1" customWidth="1"/>
    <col min="5130" max="5130" width="12.5703125" style="14" bestFit="1" customWidth="1"/>
    <col min="5131" max="5131" width="12.28515625" style="14" customWidth="1"/>
    <col min="5132" max="5132" width="10.28515625" style="14" bestFit="1" customWidth="1"/>
    <col min="5133" max="5133" width="12" style="14" bestFit="1" customWidth="1"/>
    <col min="5134" max="5134" width="16.5703125" style="14" bestFit="1" customWidth="1"/>
    <col min="5135" max="5135" width="13.5703125" style="14" customWidth="1"/>
    <col min="5136" max="5136" width="16.5703125" style="14" bestFit="1" customWidth="1"/>
    <col min="5137" max="5137" width="1.85546875" style="14" customWidth="1"/>
    <col min="5138" max="5138" width="12.5703125" style="14" bestFit="1" customWidth="1"/>
    <col min="5139" max="5139" width="14.140625" style="14" bestFit="1" customWidth="1"/>
    <col min="5140" max="5140" width="12.5703125" style="14" bestFit="1" customWidth="1"/>
    <col min="5141" max="5141" width="9.5703125" style="14" customWidth="1"/>
    <col min="5142" max="5142" width="14.140625" style="14" bestFit="1" customWidth="1"/>
    <col min="5143" max="5143" width="11" style="14" bestFit="1" customWidth="1"/>
    <col min="5144" max="5144" width="11.42578125" style="14" customWidth="1"/>
    <col min="5145" max="5145" width="1.5703125" style="14" customWidth="1"/>
    <col min="5146" max="5146" width="16.5703125" style="14" bestFit="1" customWidth="1"/>
    <col min="5147" max="5147" width="1.5703125" style="14" customWidth="1"/>
    <col min="5148" max="5148" width="9.28515625" style="14" customWidth="1"/>
    <col min="5149" max="5149" width="0.85546875" style="14" customWidth="1"/>
    <col min="5150" max="5150" width="16.5703125" style="14" bestFit="1" customWidth="1"/>
    <col min="5151" max="5159" width="11.7109375" style="14" customWidth="1"/>
    <col min="5160" max="5378" width="17.28515625" style="14"/>
    <col min="5379" max="5379" width="4" style="14" customWidth="1"/>
    <col min="5380" max="5380" width="32.5703125" style="14" customWidth="1"/>
    <col min="5381" max="5381" width="9.42578125" style="14" bestFit="1" customWidth="1"/>
    <col min="5382" max="5382" width="20.85546875" style="14" customWidth="1"/>
    <col min="5383" max="5383" width="18" style="14" customWidth="1"/>
    <col min="5384" max="5384" width="2" style="14" customWidth="1"/>
    <col min="5385" max="5385" width="16.5703125" style="14" bestFit="1" customWidth="1"/>
    <col min="5386" max="5386" width="12.5703125" style="14" bestFit="1" customWidth="1"/>
    <col min="5387" max="5387" width="12.28515625" style="14" customWidth="1"/>
    <col min="5388" max="5388" width="10.28515625" style="14" bestFit="1" customWidth="1"/>
    <col min="5389" max="5389" width="12" style="14" bestFit="1" customWidth="1"/>
    <col min="5390" max="5390" width="16.5703125" style="14" bestFit="1" customWidth="1"/>
    <col min="5391" max="5391" width="13.5703125" style="14" customWidth="1"/>
    <col min="5392" max="5392" width="16.5703125" style="14" bestFit="1" customWidth="1"/>
    <col min="5393" max="5393" width="1.85546875" style="14" customWidth="1"/>
    <col min="5394" max="5394" width="12.5703125" style="14" bestFit="1" customWidth="1"/>
    <col min="5395" max="5395" width="14.140625" style="14" bestFit="1" customWidth="1"/>
    <col min="5396" max="5396" width="12.5703125" style="14" bestFit="1" customWidth="1"/>
    <col min="5397" max="5397" width="9.5703125" style="14" customWidth="1"/>
    <col min="5398" max="5398" width="14.140625" style="14" bestFit="1" customWidth="1"/>
    <col min="5399" max="5399" width="11" style="14" bestFit="1" customWidth="1"/>
    <col min="5400" max="5400" width="11.42578125" style="14" customWidth="1"/>
    <col min="5401" max="5401" width="1.5703125" style="14" customWidth="1"/>
    <col min="5402" max="5402" width="16.5703125" style="14" bestFit="1" customWidth="1"/>
    <col min="5403" max="5403" width="1.5703125" style="14" customWidth="1"/>
    <col min="5404" max="5404" width="9.28515625" style="14" customWidth="1"/>
    <col min="5405" max="5405" width="0.85546875" style="14" customWidth="1"/>
    <col min="5406" max="5406" width="16.5703125" style="14" bestFit="1" customWidth="1"/>
    <col min="5407" max="5415" width="11.7109375" style="14" customWidth="1"/>
    <col min="5416" max="5634" width="17.28515625" style="14"/>
    <col min="5635" max="5635" width="4" style="14" customWidth="1"/>
    <col min="5636" max="5636" width="32.5703125" style="14" customWidth="1"/>
    <col min="5637" max="5637" width="9.42578125" style="14" bestFit="1" customWidth="1"/>
    <col min="5638" max="5638" width="20.85546875" style="14" customWidth="1"/>
    <col min="5639" max="5639" width="18" style="14" customWidth="1"/>
    <col min="5640" max="5640" width="2" style="14" customWidth="1"/>
    <col min="5641" max="5641" width="16.5703125" style="14" bestFit="1" customWidth="1"/>
    <col min="5642" max="5642" width="12.5703125" style="14" bestFit="1" customWidth="1"/>
    <col min="5643" max="5643" width="12.28515625" style="14" customWidth="1"/>
    <col min="5644" max="5644" width="10.28515625" style="14" bestFit="1" customWidth="1"/>
    <col min="5645" max="5645" width="12" style="14" bestFit="1" customWidth="1"/>
    <col min="5646" max="5646" width="16.5703125" style="14" bestFit="1" customWidth="1"/>
    <col min="5647" max="5647" width="13.5703125" style="14" customWidth="1"/>
    <col min="5648" max="5648" width="16.5703125" style="14" bestFit="1" customWidth="1"/>
    <col min="5649" max="5649" width="1.85546875" style="14" customWidth="1"/>
    <col min="5650" max="5650" width="12.5703125" style="14" bestFit="1" customWidth="1"/>
    <col min="5651" max="5651" width="14.140625" style="14" bestFit="1" customWidth="1"/>
    <col min="5652" max="5652" width="12.5703125" style="14" bestFit="1" customWidth="1"/>
    <col min="5653" max="5653" width="9.5703125" style="14" customWidth="1"/>
    <col min="5654" max="5654" width="14.140625" style="14" bestFit="1" customWidth="1"/>
    <col min="5655" max="5655" width="11" style="14" bestFit="1" customWidth="1"/>
    <col min="5656" max="5656" width="11.42578125" style="14" customWidth="1"/>
    <col min="5657" max="5657" width="1.5703125" style="14" customWidth="1"/>
    <col min="5658" max="5658" width="16.5703125" style="14" bestFit="1" customWidth="1"/>
    <col min="5659" max="5659" width="1.5703125" style="14" customWidth="1"/>
    <col min="5660" max="5660" width="9.28515625" style="14" customWidth="1"/>
    <col min="5661" max="5661" width="0.85546875" style="14" customWidth="1"/>
    <col min="5662" max="5662" width="16.5703125" style="14" bestFit="1" customWidth="1"/>
    <col min="5663" max="5671" width="11.7109375" style="14" customWidth="1"/>
    <col min="5672" max="5890" width="17.28515625" style="14"/>
    <col min="5891" max="5891" width="4" style="14" customWidth="1"/>
    <col min="5892" max="5892" width="32.5703125" style="14" customWidth="1"/>
    <col min="5893" max="5893" width="9.42578125" style="14" bestFit="1" customWidth="1"/>
    <col min="5894" max="5894" width="20.85546875" style="14" customWidth="1"/>
    <col min="5895" max="5895" width="18" style="14" customWidth="1"/>
    <col min="5896" max="5896" width="2" style="14" customWidth="1"/>
    <col min="5897" max="5897" width="16.5703125" style="14" bestFit="1" customWidth="1"/>
    <col min="5898" max="5898" width="12.5703125" style="14" bestFit="1" customWidth="1"/>
    <col min="5899" max="5899" width="12.28515625" style="14" customWidth="1"/>
    <col min="5900" max="5900" width="10.28515625" style="14" bestFit="1" customWidth="1"/>
    <col min="5901" max="5901" width="12" style="14" bestFit="1" customWidth="1"/>
    <col min="5902" max="5902" width="16.5703125" style="14" bestFit="1" customWidth="1"/>
    <col min="5903" max="5903" width="13.5703125" style="14" customWidth="1"/>
    <col min="5904" max="5904" width="16.5703125" style="14" bestFit="1" customWidth="1"/>
    <col min="5905" max="5905" width="1.85546875" style="14" customWidth="1"/>
    <col min="5906" max="5906" width="12.5703125" style="14" bestFit="1" customWidth="1"/>
    <col min="5907" max="5907" width="14.140625" style="14" bestFit="1" customWidth="1"/>
    <col min="5908" max="5908" width="12.5703125" style="14" bestFit="1" customWidth="1"/>
    <col min="5909" max="5909" width="9.5703125" style="14" customWidth="1"/>
    <col min="5910" max="5910" width="14.140625" style="14" bestFit="1" customWidth="1"/>
    <col min="5911" max="5911" width="11" style="14" bestFit="1" customWidth="1"/>
    <col min="5912" max="5912" width="11.42578125" style="14" customWidth="1"/>
    <col min="5913" max="5913" width="1.5703125" style="14" customWidth="1"/>
    <col min="5914" max="5914" width="16.5703125" style="14" bestFit="1" customWidth="1"/>
    <col min="5915" max="5915" width="1.5703125" style="14" customWidth="1"/>
    <col min="5916" max="5916" width="9.28515625" style="14" customWidth="1"/>
    <col min="5917" max="5917" width="0.85546875" style="14" customWidth="1"/>
    <col min="5918" max="5918" width="16.5703125" style="14" bestFit="1" customWidth="1"/>
    <col min="5919" max="5927" width="11.7109375" style="14" customWidth="1"/>
    <col min="5928" max="6146" width="17.28515625" style="14"/>
    <col min="6147" max="6147" width="4" style="14" customWidth="1"/>
    <col min="6148" max="6148" width="32.5703125" style="14" customWidth="1"/>
    <col min="6149" max="6149" width="9.42578125" style="14" bestFit="1" customWidth="1"/>
    <col min="6150" max="6150" width="20.85546875" style="14" customWidth="1"/>
    <col min="6151" max="6151" width="18" style="14" customWidth="1"/>
    <col min="6152" max="6152" width="2" style="14" customWidth="1"/>
    <col min="6153" max="6153" width="16.5703125" style="14" bestFit="1" customWidth="1"/>
    <col min="6154" max="6154" width="12.5703125" style="14" bestFit="1" customWidth="1"/>
    <col min="6155" max="6155" width="12.28515625" style="14" customWidth="1"/>
    <col min="6156" max="6156" width="10.28515625" style="14" bestFit="1" customWidth="1"/>
    <col min="6157" max="6157" width="12" style="14" bestFit="1" customWidth="1"/>
    <col min="6158" max="6158" width="16.5703125" style="14" bestFit="1" customWidth="1"/>
    <col min="6159" max="6159" width="13.5703125" style="14" customWidth="1"/>
    <col min="6160" max="6160" width="16.5703125" style="14" bestFit="1" customWidth="1"/>
    <col min="6161" max="6161" width="1.85546875" style="14" customWidth="1"/>
    <col min="6162" max="6162" width="12.5703125" style="14" bestFit="1" customWidth="1"/>
    <col min="6163" max="6163" width="14.140625" style="14" bestFit="1" customWidth="1"/>
    <col min="6164" max="6164" width="12.5703125" style="14" bestFit="1" customWidth="1"/>
    <col min="6165" max="6165" width="9.5703125" style="14" customWidth="1"/>
    <col min="6166" max="6166" width="14.140625" style="14" bestFit="1" customWidth="1"/>
    <col min="6167" max="6167" width="11" style="14" bestFit="1" customWidth="1"/>
    <col min="6168" max="6168" width="11.42578125" style="14" customWidth="1"/>
    <col min="6169" max="6169" width="1.5703125" style="14" customWidth="1"/>
    <col min="6170" max="6170" width="16.5703125" style="14" bestFit="1" customWidth="1"/>
    <col min="6171" max="6171" width="1.5703125" style="14" customWidth="1"/>
    <col min="6172" max="6172" width="9.28515625" style="14" customWidth="1"/>
    <col min="6173" max="6173" width="0.85546875" style="14" customWidth="1"/>
    <col min="6174" max="6174" width="16.5703125" style="14" bestFit="1" customWidth="1"/>
    <col min="6175" max="6183" width="11.7109375" style="14" customWidth="1"/>
    <col min="6184" max="6402" width="17.28515625" style="14"/>
    <col min="6403" max="6403" width="4" style="14" customWidth="1"/>
    <col min="6404" max="6404" width="32.5703125" style="14" customWidth="1"/>
    <col min="6405" max="6405" width="9.42578125" style="14" bestFit="1" customWidth="1"/>
    <col min="6406" max="6406" width="20.85546875" style="14" customWidth="1"/>
    <col min="6407" max="6407" width="18" style="14" customWidth="1"/>
    <col min="6408" max="6408" width="2" style="14" customWidth="1"/>
    <col min="6409" max="6409" width="16.5703125" style="14" bestFit="1" customWidth="1"/>
    <col min="6410" max="6410" width="12.5703125" style="14" bestFit="1" customWidth="1"/>
    <col min="6411" max="6411" width="12.28515625" style="14" customWidth="1"/>
    <col min="6412" max="6412" width="10.28515625" style="14" bestFit="1" customWidth="1"/>
    <col min="6413" max="6413" width="12" style="14" bestFit="1" customWidth="1"/>
    <col min="6414" max="6414" width="16.5703125" style="14" bestFit="1" customWidth="1"/>
    <col min="6415" max="6415" width="13.5703125" style="14" customWidth="1"/>
    <col min="6416" max="6416" width="16.5703125" style="14" bestFit="1" customWidth="1"/>
    <col min="6417" max="6417" width="1.85546875" style="14" customWidth="1"/>
    <col min="6418" max="6418" width="12.5703125" style="14" bestFit="1" customWidth="1"/>
    <col min="6419" max="6419" width="14.140625" style="14" bestFit="1" customWidth="1"/>
    <col min="6420" max="6420" width="12.5703125" style="14" bestFit="1" customWidth="1"/>
    <col min="6421" max="6421" width="9.5703125" style="14" customWidth="1"/>
    <col min="6422" max="6422" width="14.140625" style="14" bestFit="1" customWidth="1"/>
    <col min="6423" max="6423" width="11" style="14" bestFit="1" customWidth="1"/>
    <col min="6424" max="6424" width="11.42578125" style="14" customWidth="1"/>
    <col min="6425" max="6425" width="1.5703125" style="14" customWidth="1"/>
    <col min="6426" max="6426" width="16.5703125" style="14" bestFit="1" customWidth="1"/>
    <col min="6427" max="6427" width="1.5703125" style="14" customWidth="1"/>
    <col min="6428" max="6428" width="9.28515625" style="14" customWidth="1"/>
    <col min="6429" max="6429" width="0.85546875" style="14" customWidth="1"/>
    <col min="6430" max="6430" width="16.5703125" style="14" bestFit="1" customWidth="1"/>
    <col min="6431" max="6439" width="11.7109375" style="14" customWidth="1"/>
    <col min="6440" max="6658" width="17.28515625" style="14"/>
    <col min="6659" max="6659" width="4" style="14" customWidth="1"/>
    <col min="6660" max="6660" width="32.5703125" style="14" customWidth="1"/>
    <col min="6661" max="6661" width="9.42578125" style="14" bestFit="1" customWidth="1"/>
    <col min="6662" max="6662" width="20.85546875" style="14" customWidth="1"/>
    <col min="6663" max="6663" width="18" style="14" customWidth="1"/>
    <col min="6664" max="6664" width="2" style="14" customWidth="1"/>
    <col min="6665" max="6665" width="16.5703125" style="14" bestFit="1" customWidth="1"/>
    <col min="6666" max="6666" width="12.5703125" style="14" bestFit="1" customWidth="1"/>
    <col min="6667" max="6667" width="12.28515625" style="14" customWidth="1"/>
    <col min="6668" max="6668" width="10.28515625" style="14" bestFit="1" customWidth="1"/>
    <col min="6669" max="6669" width="12" style="14" bestFit="1" customWidth="1"/>
    <col min="6670" max="6670" width="16.5703125" style="14" bestFit="1" customWidth="1"/>
    <col min="6671" max="6671" width="13.5703125" style="14" customWidth="1"/>
    <col min="6672" max="6672" width="16.5703125" style="14" bestFit="1" customWidth="1"/>
    <col min="6673" max="6673" width="1.85546875" style="14" customWidth="1"/>
    <col min="6674" max="6674" width="12.5703125" style="14" bestFit="1" customWidth="1"/>
    <col min="6675" max="6675" width="14.140625" style="14" bestFit="1" customWidth="1"/>
    <col min="6676" max="6676" width="12.5703125" style="14" bestFit="1" customWidth="1"/>
    <col min="6677" max="6677" width="9.5703125" style="14" customWidth="1"/>
    <col min="6678" max="6678" width="14.140625" style="14" bestFit="1" customWidth="1"/>
    <col min="6679" max="6679" width="11" style="14" bestFit="1" customWidth="1"/>
    <col min="6680" max="6680" width="11.42578125" style="14" customWidth="1"/>
    <col min="6681" max="6681" width="1.5703125" style="14" customWidth="1"/>
    <col min="6682" max="6682" width="16.5703125" style="14" bestFit="1" customWidth="1"/>
    <col min="6683" max="6683" width="1.5703125" style="14" customWidth="1"/>
    <col min="6684" max="6684" width="9.28515625" style="14" customWidth="1"/>
    <col min="6685" max="6685" width="0.85546875" style="14" customWidth="1"/>
    <col min="6686" max="6686" width="16.5703125" style="14" bestFit="1" customWidth="1"/>
    <col min="6687" max="6695" width="11.7109375" style="14" customWidth="1"/>
    <col min="6696" max="6914" width="17.28515625" style="14"/>
    <col min="6915" max="6915" width="4" style="14" customWidth="1"/>
    <col min="6916" max="6916" width="32.5703125" style="14" customWidth="1"/>
    <col min="6917" max="6917" width="9.42578125" style="14" bestFit="1" customWidth="1"/>
    <col min="6918" max="6918" width="20.85546875" style="14" customWidth="1"/>
    <col min="6919" max="6919" width="18" style="14" customWidth="1"/>
    <col min="6920" max="6920" width="2" style="14" customWidth="1"/>
    <col min="6921" max="6921" width="16.5703125" style="14" bestFit="1" customWidth="1"/>
    <col min="6922" max="6922" width="12.5703125" style="14" bestFit="1" customWidth="1"/>
    <col min="6923" max="6923" width="12.28515625" style="14" customWidth="1"/>
    <col min="6924" max="6924" width="10.28515625" style="14" bestFit="1" customWidth="1"/>
    <col min="6925" max="6925" width="12" style="14" bestFit="1" customWidth="1"/>
    <col min="6926" max="6926" width="16.5703125" style="14" bestFit="1" customWidth="1"/>
    <col min="6927" max="6927" width="13.5703125" style="14" customWidth="1"/>
    <col min="6928" max="6928" width="16.5703125" style="14" bestFit="1" customWidth="1"/>
    <col min="6929" max="6929" width="1.85546875" style="14" customWidth="1"/>
    <col min="6930" max="6930" width="12.5703125" style="14" bestFit="1" customWidth="1"/>
    <col min="6931" max="6931" width="14.140625" style="14" bestFit="1" customWidth="1"/>
    <col min="6932" max="6932" width="12.5703125" style="14" bestFit="1" customWidth="1"/>
    <col min="6933" max="6933" width="9.5703125" style="14" customWidth="1"/>
    <col min="6934" max="6934" width="14.140625" style="14" bestFit="1" customWidth="1"/>
    <col min="6935" max="6935" width="11" style="14" bestFit="1" customWidth="1"/>
    <col min="6936" max="6936" width="11.42578125" style="14" customWidth="1"/>
    <col min="6937" max="6937" width="1.5703125" style="14" customWidth="1"/>
    <col min="6938" max="6938" width="16.5703125" style="14" bestFit="1" customWidth="1"/>
    <col min="6939" max="6939" width="1.5703125" style="14" customWidth="1"/>
    <col min="6940" max="6940" width="9.28515625" style="14" customWidth="1"/>
    <col min="6941" max="6941" width="0.85546875" style="14" customWidth="1"/>
    <col min="6942" max="6942" width="16.5703125" style="14" bestFit="1" customWidth="1"/>
    <col min="6943" max="6951" width="11.7109375" style="14" customWidth="1"/>
    <col min="6952" max="7170" width="17.28515625" style="14"/>
    <col min="7171" max="7171" width="4" style="14" customWidth="1"/>
    <col min="7172" max="7172" width="32.5703125" style="14" customWidth="1"/>
    <col min="7173" max="7173" width="9.42578125" style="14" bestFit="1" customWidth="1"/>
    <col min="7174" max="7174" width="20.85546875" style="14" customWidth="1"/>
    <col min="7175" max="7175" width="18" style="14" customWidth="1"/>
    <col min="7176" max="7176" width="2" style="14" customWidth="1"/>
    <col min="7177" max="7177" width="16.5703125" style="14" bestFit="1" customWidth="1"/>
    <col min="7178" max="7178" width="12.5703125" style="14" bestFit="1" customWidth="1"/>
    <col min="7179" max="7179" width="12.28515625" style="14" customWidth="1"/>
    <col min="7180" max="7180" width="10.28515625" style="14" bestFit="1" customWidth="1"/>
    <col min="7181" max="7181" width="12" style="14" bestFit="1" customWidth="1"/>
    <col min="7182" max="7182" width="16.5703125" style="14" bestFit="1" customWidth="1"/>
    <col min="7183" max="7183" width="13.5703125" style="14" customWidth="1"/>
    <col min="7184" max="7184" width="16.5703125" style="14" bestFit="1" customWidth="1"/>
    <col min="7185" max="7185" width="1.85546875" style="14" customWidth="1"/>
    <col min="7186" max="7186" width="12.5703125" style="14" bestFit="1" customWidth="1"/>
    <col min="7187" max="7187" width="14.140625" style="14" bestFit="1" customWidth="1"/>
    <col min="7188" max="7188" width="12.5703125" style="14" bestFit="1" customWidth="1"/>
    <col min="7189" max="7189" width="9.5703125" style="14" customWidth="1"/>
    <col min="7190" max="7190" width="14.140625" style="14" bestFit="1" customWidth="1"/>
    <col min="7191" max="7191" width="11" style="14" bestFit="1" customWidth="1"/>
    <col min="7192" max="7192" width="11.42578125" style="14" customWidth="1"/>
    <col min="7193" max="7193" width="1.5703125" style="14" customWidth="1"/>
    <col min="7194" max="7194" width="16.5703125" style="14" bestFit="1" customWidth="1"/>
    <col min="7195" max="7195" width="1.5703125" style="14" customWidth="1"/>
    <col min="7196" max="7196" width="9.28515625" style="14" customWidth="1"/>
    <col min="7197" max="7197" width="0.85546875" style="14" customWidth="1"/>
    <col min="7198" max="7198" width="16.5703125" style="14" bestFit="1" customWidth="1"/>
    <col min="7199" max="7207" width="11.7109375" style="14" customWidth="1"/>
    <col min="7208" max="7426" width="17.28515625" style="14"/>
    <col min="7427" max="7427" width="4" style="14" customWidth="1"/>
    <col min="7428" max="7428" width="32.5703125" style="14" customWidth="1"/>
    <col min="7429" max="7429" width="9.42578125" style="14" bestFit="1" customWidth="1"/>
    <col min="7430" max="7430" width="20.85546875" style="14" customWidth="1"/>
    <col min="7431" max="7431" width="18" style="14" customWidth="1"/>
    <col min="7432" max="7432" width="2" style="14" customWidth="1"/>
    <col min="7433" max="7433" width="16.5703125" style="14" bestFit="1" customWidth="1"/>
    <col min="7434" max="7434" width="12.5703125" style="14" bestFit="1" customWidth="1"/>
    <col min="7435" max="7435" width="12.28515625" style="14" customWidth="1"/>
    <col min="7436" max="7436" width="10.28515625" style="14" bestFit="1" customWidth="1"/>
    <col min="7437" max="7437" width="12" style="14" bestFit="1" customWidth="1"/>
    <col min="7438" max="7438" width="16.5703125" style="14" bestFit="1" customWidth="1"/>
    <col min="7439" max="7439" width="13.5703125" style="14" customWidth="1"/>
    <col min="7440" max="7440" width="16.5703125" style="14" bestFit="1" customWidth="1"/>
    <col min="7441" max="7441" width="1.85546875" style="14" customWidth="1"/>
    <col min="7442" max="7442" width="12.5703125" style="14" bestFit="1" customWidth="1"/>
    <col min="7443" max="7443" width="14.140625" style="14" bestFit="1" customWidth="1"/>
    <col min="7444" max="7444" width="12.5703125" style="14" bestFit="1" customWidth="1"/>
    <col min="7445" max="7445" width="9.5703125" style="14" customWidth="1"/>
    <col min="7446" max="7446" width="14.140625" style="14" bestFit="1" customWidth="1"/>
    <col min="7447" max="7447" width="11" style="14" bestFit="1" customWidth="1"/>
    <col min="7448" max="7448" width="11.42578125" style="14" customWidth="1"/>
    <col min="7449" max="7449" width="1.5703125" style="14" customWidth="1"/>
    <col min="7450" max="7450" width="16.5703125" style="14" bestFit="1" customWidth="1"/>
    <col min="7451" max="7451" width="1.5703125" style="14" customWidth="1"/>
    <col min="7452" max="7452" width="9.28515625" style="14" customWidth="1"/>
    <col min="7453" max="7453" width="0.85546875" style="14" customWidth="1"/>
    <col min="7454" max="7454" width="16.5703125" style="14" bestFit="1" customWidth="1"/>
    <col min="7455" max="7463" width="11.7109375" style="14" customWidth="1"/>
    <col min="7464" max="7682" width="17.28515625" style="14"/>
    <col min="7683" max="7683" width="4" style="14" customWidth="1"/>
    <col min="7684" max="7684" width="32.5703125" style="14" customWidth="1"/>
    <col min="7685" max="7685" width="9.42578125" style="14" bestFit="1" customWidth="1"/>
    <col min="7686" max="7686" width="20.85546875" style="14" customWidth="1"/>
    <col min="7687" max="7687" width="18" style="14" customWidth="1"/>
    <col min="7688" max="7688" width="2" style="14" customWidth="1"/>
    <col min="7689" max="7689" width="16.5703125" style="14" bestFit="1" customWidth="1"/>
    <col min="7690" max="7690" width="12.5703125" style="14" bestFit="1" customWidth="1"/>
    <col min="7691" max="7691" width="12.28515625" style="14" customWidth="1"/>
    <col min="7692" max="7692" width="10.28515625" style="14" bestFit="1" customWidth="1"/>
    <col min="7693" max="7693" width="12" style="14" bestFit="1" customWidth="1"/>
    <col min="7694" max="7694" width="16.5703125" style="14" bestFit="1" customWidth="1"/>
    <col min="7695" max="7695" width="13.5703125" style="14" customWidth="1"/>
    <col min="7696" max="7696" width="16.5703125" style="14" bestFit="1" customWidth="1"/>
    <col min="7697" max="7697" width="1.85546875" style="14" customWidth="1"/>
    <col min="7698" max="7698" width="12.5703125" style="14" bestFit="1" customWidth="1"/>
    <col min="7699" max="7699" width="14.140625" style="14" bestFit="1" customWidth="1"/>
    <col min="7700" max="7700" width="12.5703125" style="14" bestFit="1" customWidth="1"/>
    <col min="7701" max="7701" width="9.5703125" style="14" customWidth="1"/>
    <col min="7702" max="7702" width="14.140625" style="14" bestFit="1" customWidth="1"/>
    <col min="7703" max="7703" width="11" style="14" bestFit="1" customWidth="1"/>
    <col min="7704" max="7704" width="11.42578125" style="14" customWidth="1"/>
    <col min="7705" max="7705" width="1.5703125" style="14" customWidth="1"/>
    <col min="7706" max="7706" width="16.5703125" style="14" bestFit="1" customWidth="1"/>
    <col min="7707" max="7707" width="1.5703125" style="14" customWidth="1"/>
    <col min="7708" max="7708" width="9.28515625" style="14" customWidth="1"/>
    <col min="7709" max="7709" width="0.85546875" style="14" customWidth="1"/>
    <col min="7710" max="7710" width="16.5703125" style="14" bestFit="1" customWidth="1"/>
    <col min="7711" max="7719" width="11.7109375" style="14" customWidth="1"/>
    <col min="7720" max="7938" width="17.28515625" style="14"/>
    <col min="7939" max="7939" width="4" style="14" customWidth="1"/>
    <col min="7940" max="7940" width="32.5703125" style="14" customWidth="1"/>
    <col min="7941" max="7941" width="9.42578125" style="14" bestFit="1" customWidth="1"/>
    <col min="7942" max="7942" width="20.85546875" style="14" customWidth="1"/>
    <col min="7943" max="7943" width="18" style="14" customWidth="1"/>
    <col min="7944" max="7944" width="2" style="14" customWidth="1"/>
    <col min="7945" max="7945" width="16.5703125" style="14" bestFit="1" customWidth="1"/>
    <col min="7946" max="7946" width="12.5703125" style="14" bestFit="1" customWidth="1"/>
    <col min="7947" max="7947" width="12.28515625" style="14" customWidth="1"/>
    <col min="7948" max="7948" width="10.28515625" style="14" bestFit="1" customWidth="1"/>
    <col min="7949" max="7949" width="12" style="14" bestFit="1" customWidth="1"/>
    <col min="7950" max="7950" width="16.5703125" style="14" bestFit="1" customWidth="1"/>
    <col min="7951" max="7951" width="13.5703125" style="14" customWidth="1"/>
    <col min="7952" max="7952" width="16.5703125" style="14" bestFit="1" customWidth="1"/>
    <col min="7953" max="7953" width="1.85546875" style="14" customWidth="1"/>
    <col min="7954" max="7954" width="12.5703125" style="14" bestFit="1" customWidth="1"/>
    <col min="7955" max="7955" width="14.140625" style="14" bestFit="1" customWidth="1"/>
    <col min="7956" max="7956" width="12.5703125" style="14" bestFit="1" customWidth="1"/>
    <col min="7957" max="7957" width="9.5703125" style="14" customWidth="1"/>
    <col min="7958" max="7958" width="14.140625" style="14" bestFit="1" customWidth="1"/>
    <col min="7959" max="7959" width="11" style="14" bestFit="1" customWidth="1"/>
    <col min="7960" max="7960" width="11.42578125" style="14" customWidth="1"/>
    <col min="7961" max="7961" width="1.5703125" style="14" customWidth="1"/>
    <col min="7962" max="7962" width="16.5703125" style="14" bestFit="1" customWidth="1"/>
    <col min="7963" max="7963" width="1.5703125" style="14" customWidth="1"/>
    <col min="7964" max="7964" width="9.28515625" style="14" customWidth="1"/>
    <col min="7965" max="7965" width="0.85546875" style="14" customWidth="1"/>
    <col min="7966" max="7966" width="16.5703125" style="14" bestFit="1" customWidth="1"/>
    <col min="7967" max="7975" width="11.7109375" style="14" customWidth="1"/>
    <col min="7976" max="8194" width="17.28515625" style="14"/>
    <col min="8195" max="8195" width="4" style="14" customWidth="1"/>
    <col min="8196" max="8196" width="32.5703125" style="14" customWidth="1"/>
    <col min="8197" max="8197" width="9.42578125" style="14" bestFit="1" customWidth="1"/>
    <col min="8198" max="8198" width="20.85546875" style="14" customWidth="1"/>
    <col min="8199" max="8199" width="18" style="14" customWidth="1"/>
    <col min="8200" max="8200" width="2" style="14" customWidth="1"/>
    <col min="8201" max="8201" width="16.5703125" style="14" bestFit="1" customWidth="1"/>
    <col min="8202" max="8202" width="12.5703125" style="14" bestFit="1" customWidth="1"/>
    <col min="8203" max="8203" width="12.28515625" style="14" customWidth="1"/>
    <col min="8204" max="8204" width="10.28515625" style="14" bestFit="1" customWidth="1"/>
    <col min="8205" max="8205" width="12" style="14" bestFit="1" customWidth="1"/>
    <col min="8206" max="8206" width="16.5703125" style="14" bestFit="1" customWidth="1"/>
    <col min="8207" max="8207" width="13.5703125" style="14" customWidth="1"/>
    <col min="8208" max="8208" width="16.5703125" style="14" bestFit="1" customWidth="1"/>
    <col min="8209" max="8209" width="1.85546875" style="14" customWidth="1"/>
    <col min="8210" max="8210" width="12.5703125" style="14" bestFit="1" customWidth="1"/>
    <col min="8211" max="8211" width="14.140625" style="14" bestFit="1" customWidth="1"/>
    <col min="8212" max="8212" width="12.5703125" style="14" bestFit="1" customWidth="1"/>
    <col min="8213" max="8213" width="9.5703125" style="14" customWidth="1"/>
    <col min="8214" max="8214" width="14.140625" style="14" bestFit="1" customWidth="1"/>
    <col min="8215" max="8215" width="11" style="14" bestFit="1" customWidth="1"/>
    <col min="8216" max="8216" width="11.42578125" style="14" customWidth="1"/>
    <col min="8217" max="8217" width="1.5703125" style="14" customWidth="1"/>
    <col min="8218" max="8218" width="16.5703125" style="14" bestFit="1" customWidth="1"/>
    <col min="8219" max="8219" width="1.5703125" style="14" customWidth="1"/>
    <col min="8220" max="8220" width="9.28515625" style="14" customWidth="1"/>
    <col min="8221" max="8221" width="0.85546875" style="14" customWidth="1"/>
    <col min="8222" max="8222" width="16.5703125" style="14" bestFit="1" customWidth="1"/>
    <col min="8223" max="8231" width="11.7109375" style="14" customWidth="1"/>
    <col min="8232" max="8450" width="17.28515625" style="14"/>
    <col min="8451" max="8451" width="4" style="14" customWidth="1"/>
    <col min="8452" max="8452" width="32.5703125" style="14" customWidth="1"/>
    <col min="8453" max="8453" width="9.42578125" style="14" bestFit="1" customWidth="1"/>
    <col min="8454" max="8454" width="20.85546875" style="14" customWidth="1"/>
    <col min="8455" max="8455" width="18" style="14" customWidth="1"/>
    <col min="8456" max="8456" width="2" style="14" customWidth="1"/>
    <col min="8457" max="8457" width="16.5703125" style="14" bestFit="1" customWidth="1"/>
    <col min="8458" max="8458" width="12.5703125" style="14" bestFit="1" customWidth="1"/>
    <col min="8459" max="8459" width="12.28515625" style="14" customWidth="1"/>
    <col min="8460" max="8460" width="10.28515625" style="14" bestFit="1" customWidth="1"/>
    <col min="8461" max="8461" width="12" style="14" bestFit="1" customWidth="1"/>
    <col min="8462" max="8462" width="16.5703125" style="14" bestFit="1" customWidth="1"/>
    <col min="8463" max="8463" width="13.5703125" style="14" customWidth="1"/>
    <col min="8464" max="8464" width="16.5703125" style="14" bestFit="1" customWidth="1"/>
    <col min="8465" max="8465" width="1.85546875" style="14" customWidth="1"/>
    <col min="8466" max="8466" width="12.5703125" style="14" bestFit="1" customWidth="1"/>
    <col min="8467" max="8467" width="14.140625" style="14" bestFit="1" customWidth="1"/>
    <col min="8468" max="8468" width="12.5703125" style="14" bestFit="1" customWidth="1"/>
    <col min="8469" max="8469" width="9.5703125" style="14" customWidth="1"/>
    <col min="8470" max="8470" width="14.140625" style="14" bestFit="1" customWidth="1"/>
    <col min="8471" max="8471" width="11" style="14" bestFit="1" customWidth="1"/>
    <col min="8472" max="8472" width="11.42578125" style="14" customWidth="1"/>
    <col min="8473" max="8473" width="1.5703125" style="14" customWidth="1"/>
    <col min="8474" max="8474" width="16.5703125" style="14" bestFit="1" customWidth="1"/>
    <col min="8475" max="8475" width="1.5703125" style="14" customWidth="1"/>
    <col min="8476" max="8476" width="9.28515625" style="14" customWidth="1"/>
    <col min="8477" max="8477" width="0.85546875" style="14" customWidth="1"/>
    <col min="8478" max="8478" width="16.5703125" style="14" bestFit="1" customWidth="1"/>
    <col min="8479" max="8487" width="11.7109375" style="14" customWidth="1"/>
    <col min="8488" max="8706" width="17.28515625" style="14"/>
    <col min="8707" max="8707" width="4" style="14" customWidth="1"/>
    <col min="8708" max="8708" width="32.5703125" style="14" customWidth="1"/>
    <col min="8709" max="8709" width="9.42578125" style="14" bestFit="1" customWidth="1"/>
    <col min="8710" max="8710" width="20.85546875" style="14" customWidth="1"/>
    <col min="8711" max="8711" width="18" style="14" customWidth="1"/>
    <col min="8712" max="8712" width="2" style="14" customWidth="1"/>
    <col min="8713" max="8713" width="16.5703125" style="14" bestFit="1" customWidth="1"/>
    <col min="8714" max="8714" width="12.5703125" style="14" bestFit="1" customWidth="1"/>
    <col min="8715" max="8715" width="12.28515625" style="14" customWidth="1"/>
    <col min="8716" max="8716" width="10.28515625" style="14" bestFit="1" customWidth="1"/>
    <col min="8717" max="8717" width="12" style="14" bestFit="1" customWidth="1"/>
    <col min="8718" max="8718" width="16.5703125" style="14" bestFit="1" customWidth="1"/>
    <col min="8719" max="8719" width="13.5703125" style="14" customWidth="1"/>
    <col min="8720" max="8720" width="16.5703125" style="14" bestFit="1" customWidth="1"/>
    <col min="8721" max="8721" width="1.85546875" style="14" customWidth="1"/>
    <col min="8722" max="8722" width="12.5703125" style="14" bestFit="1" customWidth="1"/>
    <col min="8723" max="8723" width="14.140625" style="14" bestFit="1" customWidth="1"/>
    <col min="8724" max="8724" width="12.5703125" style="14" bestFit="1" customWidth="1"/>
    <col min="8725" max="8725" width="9.5703125" style="14" customWidth="1"/>
    <col min="8726" max="8726" width="14.140625" style="14" bestFit="1" customWidth="1"/>
    <col min="8727" max="8727" width="11" style="14" bestFit="1" customWidth="1"/>
    <col min="8728" max="8728" width="11.42578125" style="14" customWidth="1"/>
    <col min="8729" max="8729" width="1.5703125" style="14" customWidth="1"/>
    <col min="8730" max="8730" width="16.5703125" style="14" bestFit="1" customWidth="1"/>
    <col min="8731" max="8731" width="1.5703125" style="14" customWidth="1"/>
    <col min="8732" max="8732" width="9.28515625" style="14" customWidth="1"/>
    <col min="8733" max="8733" width="0.85546875" style="14" customWidth="1"/>
    <col min="8734" max="8734" width="16.5703125" style="14" bestFit="1" customWidth="1"/>
    <col min="8735" max="8743" width="11.7109375" style="14" customWidth="1"/>
    <col min="8744" max="8962" width="17.28515625" style="14"/>
    <col min="8963" max="8963" width="4" style="14" customWidth="1"/>
    <col min="8964" max="8964" width="32.5703125" style="14" customWidth="1"/>
    <col min="8965" max="8965" width="9.42578125" style="14" bestFit="1" customWidth="1"/>
    <col min="8966" max="8966" width="20.85546875" style="14" customWidth="1"/>
    <col min="8967" max="8967" width="18" style="14" customWidth="1"/>
    <col min="8968" max="8968" width="2" style="14" customWidth="1"/>
    <col min="8969" max="8969" width="16.5703125" style="14" bestFit="1" customWidth="1"/>
    <col min="8970" max="8970" width="12.5703125" style="14" bestFit="1" customWidth="1"/>
    <col min="8971" max="8971" width="12.28515625" style="14" customWidth="1"/>
    <col min="8972" max="8972" width="10.28515625" style="14" bestFit="1" customWidth="1"/>
    <col min="8973" max="8973" width="12" style="14" bestFit="1" customWidth="1"/>
    <col min="8974" max="8974" width="16.5703125" style="14" bestFit="1" customWidth="1"/>
    <col min="8975" max="8975" width="13.5703125" style="14" customWidth="1"/>
    <col min="8976" max="8976" width="16.5703125" style="14" bestFit="1" customWidth="1"/>
    <col min="8977" max="8977" width="1.85546875" style="14" customWidth="1"/>
    <col min="8978" max="8978" width="12.5703125" style="14" bestFit="1" customWidth="1"/>
    <col min="8979" max="8979" width="14.140625" style="14" bestFit="1" customWidth="1"/>
    <col min="8980" max="8980" width="12.5703125" style="14" bestFit="1" customWidth="1"/>
    <col min="8981" max="8981" width="9.5703125" style="14" customWidth="1"/>
    <col min="8982" max="8982" width="14.140625" style="14" bestFit="1" customWidth="1"/>
    <col min="8983" max="8983" width="11" style="14" bestFit="1" customWidth="1"/>
    <col min="8984" max="8984" width="11.42578125" style="14" customWidth="1"/>
    <col min="8985" max="8985" width="1.5703125" style="14" customWidth="1"/>
    <col min="8986" max="8986" width="16.5703125" style="14" bestFit="1" customWidth="1"/>
    <col min="8987" max="8987" width="1.5703125" style="14" customWidth="1"/>
    <col min="8988" max="8988" width="9.28515625" style="14" customWidth="1"/>
    <col min="8989" max="8989" width="0.85546875" style="14" customWidth="1"/>
    <col min="8990" max="8990" width="16.5703125" style="14" bestFit="1" customWidth="1"/>
    <col min="8991" max="8999" width="11.7109375" style="14" customWidth="1"/>
    <col min="9000" max="9218" width="17.28515625" style="14"/>
    <col min="9219" max="9219" width="4" style="14" customWidth="1"/>
    <col min="9220" max="9220" width="32.5703125" style="14" customWidth="1"/>
    <col min="9221" max="9221" width="9.42578125" style="14" bestFit="1" customWidth="1"/>
    <col min="9222" max="9222" width="20.85546875" style="14" customWidth="1"/>
    <col min="9223" max="9223" width="18" style="14" customWidth="1"/>
    <col min="9224" max="9224" width="2" style="14" customWidth="1"/>
    <col min="9225" max="9225" width="16.5703125" style="14" bestFit="1" customWidth="1"/>
    <col min="9226" max="9226" width="12.5703125" style="14" bestFit="1" customWidth="1"/>
    <col min="9227" max="9227" width="12.28515625" style="14" customWidth="1"/>
    <col min="9228" max="9228" width="10.28515625" style="14" bestFit="1" customWidth="1"/>
    <col min="9229" max="9229" width="12" style="14" bestFit="1" customWidth="1"/>
    <col min="9230" max="9230" width="16.5703125" style="14" bestFit="1" customWidth="1"/>
    <col min="9231" max="9231" width="13.5703125" style="14" customWidth="1"/>
    <col min="9232" max="9232" width="16.5703125" style="14" bestFit="1" customWidth="1"/>
    <col min="9233" max="9233" width="1.85546875" style="14" customWidth="1"/>
    <col min="9234" max="9234" width="12.5703125" style="14" bestFit="1" customWidth="1"/>
    <col min="9235" max="9235" width="14.140625" style="14" bestFit="1" customWidth="1"/>
    <col min="9236" max="9236" width="12.5703125" style="14" bestFit="1" customWidth="1"/>
    <col min="9237" max="9237" width="9.5703125" style="14" customWidth="1"/>
    <col min="9238" max="9238" width="14.140625" style="14" bestFit="1" customWidth="1"/>
    <col min="9239" max="9239" width="11" style="14" bestFit="1" customWidth="1"/>
    <col min="9240" max="9240" width="11.42578125" style="14" customWidth="1"/>
    <col min="9241" max="9241" width="1.5703125" style="14" customWidth="1"/>
    <col min="9242" max="9242" width="16.5703125" style="14" bestFit="1" customWidth="1"/>
    <col min="9243" max="9243" width="1.5703125" style="14" customWidth="1"/>
    <col min="9244" max="9244" width="9.28515625" style="14" customWidth="1"/>
    <col min="9245" max="9245" width="0.85546875" style="14" customWidth="1"/>
    <col min="9246" max="9246" width="16.5703125" style="14" bestFit="1" customWidth="1"/>
    <col min="9247" max="9255" width="11.7109375" style="14" customWidth="1"/>
    <col min="9256" max="9474" width="17.28515625" style="14"/>
    <col min="9475" max="9475" width="4" style="14" customWidth="1"/>
    <col min="9476" max="9476" width="32.5703125" style="14" customWidth="1"/>
    <col min="9477" max="9477" width="9.42578125" style="14" bestFit="1" customWidth="1"/>
    <col min="9478" max="9478" width="20.85546875" style="14" customWidth="1"/>
    <col min="9479" max="9479" width="18" style="14" customWidth="1"/>
    <col min="9480" max="9480" width="2" style="14" customWidth="1"/>
    <col min="9481" max="9481" width="16.5703125" style="14" bestFit="1" customWidth="1"/>
    <col min="9482" max="9482" width="12.5703125" style="14" bestFit="1" customWidth="1"/>
    <col min="9483" max="9483" width="12.28515625" style="14" customWidth="1"/>
    <col min="9484" max="9484" width="10.28515625" style="14" bestFit="1" customWidth="1"/>
    <col min="9485" max="9485" width="12" style="14" bestFit="1" customWidth="1"/>
    <col min="9486" max="9486" width="16.5703125" style="14" bestFit="1" customWidth="1"/>
    <col min="9487" max="9487" width="13.5703125" style="14" customWidth="1"/>
    <col min="9488" max="9488" width="16.5703125" style="14" bestFit="1" customWidth="1"/>
    <col min="9489" max="9489" width="1.85546875" style="14" customWidth="1"/>
    <col min="9490" max="9490" width="12.5703125" style="14" bestFit="1" customWidth="1"/>
    <col min="9491" max="9491" width="14.140625" style="14" bestFit="1" customWidth="1"/>
    <col min="9492" max="9492" width="12.5703125" style="14" bestFit="1" customWidth="1"/>
    <col min="9493" max="9493" width="9.5703125" style="14" customWidth="1"/>
    <col min="9494" max="9494" width="14.140625" style="14" bestFit="1" customWidth="1"/>
    <col min="9495" max="9495" width="11" style="14" bestFit="1" customWidth="1"/>
    <col min="9496" max="9496" width="11.42578125" style="14" customWidth="1"/>
    <col min="9497" max="9497" width="1.5703125" style="14" customWidth="1"/>
    <col min="9498" max="9498" width="16.5703125" style="14" bestFit="1" customWidth="1"/>
    <col min="9499" max="9499" width="1.5703125" style="14" customWidth="1"/>
    <col min="9500" max="9500" width="9.28515625" style="14" customWidth="1"/>
    <col min="9501" max="9501" width="0.85546875" style="14" customWidth="1"/>
    <col min="9502" max="9502" width="16.5703125" style="14" bestFit="1" customWidth="1"/>
    <col min="9503" max="9511" width="11.7109375" style="14" customWidth="1"/>
    <col min="9512" max="9730" width="17.28515625" style="14"/>
    <col min="9731" max="9731" width="4" style="14" customWidth="1"/>
    <col min="9732" max="9732" width="32.5703125" style="14" customWidth="1"/>
    <col min="9733" max="9733" width="9.42578125" style="14" bestFit="1" customWidth="1"/>
    <col min="9734" max="9734" width="20.85546875" style="14" customWidth="1"/>
    <col min="9735" max="9735" width="18" style="14" customWidth="1"/>
    <col min="9736" max="9736" width="2" style="14" customWidth="1"/>
    <col min="9737" max="9737" width="16.5703125" style="14" bestFit="1" customWidth="1"/>
    <col min="9738" max="9738" width="12.5703125" style="14" bestFit="1" customWidth="1"/>
    <col min="9739" max="9739" width="12.28515625" style="14" customWidth="1"/>
    <col min="9740" max="9740" width="10.28515625" style="14" bestFit="1" customWidth="1"/>
    <col min="9741" max="9741" width="12" style="14" bestFit="1" customWidth="1"/>
    <col min="9742" max="9742" width="16.5703125" style="14" bestFit="1" customWidth="1"/>
    <col min="9743" max="9743" width="13.5703125" style="14" customWidth="1"/>
    <col min="9744" max="9744" width="16.5703125" style="14" bestFit="1" customWidth="1"/>
    <col min="9745" max="9745" width="1.85546875" style="14" customWidth="1"/>
    <col min="9746" max="9746" width="12.5703125" style="14" bestFit="1" customWidth="1"/>
    <col min="9747" max="9747" width="14.140625" style="14" bestFit="1" customWidth="1"/>
    <col min="9748" max="9748" width="12.5703125" style="14" bestFit="1" customWidth="1"/>
    <col min="9749" max="9749" width="9.5703125" style="14" customWidth="1"/>
    <col min="9750" max="9750" width="14.140625" style="14" bestFit="1" customWidth="1"/>
    <col min="9751" max="9751" width="11" style="14" bestFit="1" customWidth="1"/>
    <col min="9752" max="9752" width="11.42578125" style="14" customWidth="1"/>
    <col min="9753" max="9753" width="1.5703125" style="14" customWidth="1"/>
    <col min="9754" max="9754" width="16.5703125" style="14" bestFit="1" customWidth="1"/>
    <col min="9755" max="9755" width="1.5703125" style="14" customWidth="1"/>
    <col min="9756" max="9756" width="9.28515625" style="14" customWidth="1"/>
    <col min="9757" max="9757" width="0.85546875" style="14" customWidth="1"/>
    <col min="9758" max="9758" width="16.5703125" style="14" bestFit="1" customWidth="1"/>
    <col min="9759" max="9767" width="11.7109375" style="14" customWidth="1"/>
    <col min="9768" max="9986" width="17.28515625" style="14"/>
    <col min="9987" max="9987" width="4" style="14" customWidth="1"/>
    <col min="9988" max="9988" width="32.5703125" style="14" customWidth="1"/>
    <col min="9989" max="9989" width="9.42578125" style="14" bestFit="1" customWidth="1"/>
    <col min="9990" max="9990" width="20.85546875" style="14" customWidth="1"/>
    <col min="9991" max="9991" width="18" style="14" customWidth="1"/>
    <col min="9992" max="9992" width="2" style="14" customWidth="1"/>
    <col min="9993" max="9993" width="16.5703125" style="14" bestFit="1" customWidth="1"/>
    <col min="9994" max="9994" width="12.5703125" style="14" bestFit="1" customWidth="1"/>
    <col min="9995" max="9995" width="12.28515625" style="14" customWidth="1"/>
    <col min="9996" max="9996" width="10.28515625" style="14" bestFit="1" customWidth="1"/>
    <col min="9997" max="9997" width="12" style="14" bestFit="1" customWidth="1"/>
    <col min="9998" max="9998" width="16.5703125" style="14" bestFit="1" customWidth="1"/>
    <col min="9999" max="9999" width="13.5703125" style="14" customWidth="1"/>
    <col min="10000" max="10000" width="16.5703125" style="14" bestFit="1" customWidth="1"/>
    <col min="10001" max="10001" width="1.85546875" style="14" customWidth="1"/>
    <col min="10002" max="10002" width="12.5703125" style="14" bestFit="1" customWidth="1"/>
    <col min="10003" max="10003" width="14.140625" style="14" bestFit="1" customWidth="1"/>
    <col min="10004" max="10004" width="12.5703125" style="14" bestFit="1" customWidth="1"/>
    <col min="10005" max="10005" width="9.5703125" style="14" customWidth="1"/>
    <col min="10006" max="10006" width="14.140625" style="14" bestFit="1" customWidth="1"/>
    <col min="10007" max="10007" width="11" style="14" bestFit="1" customWidth="1"/>
    <col min="10008" max="10008" width="11.42578125" style="14" customWidth="1"/>
    <col min="10009" max="10009" width="1.5703125" style="14" customWidth="1"/>
    <col min="10010" max="10010" width="16.5703125" style="14" bestFit="1" customWidth="1"/>
    <col min="10011" max="10011" width="1.5703125" style="14" customWidth="1"/>
    <col min="10012" max="10012" width="9.28515625" style="14" customWidth="1"/>
    <col min="10013" max="10013" width="0.85546875" style="14" customWidth="1"/>
    <col min="10014" max="10014" width="16.5703125" style="14" bestFit="1" customWidth="1"/>
    <col min="10015" max="10023" width="11.7109375" style="14" customWidth="1"/>
    <col min="10024" max="10242" width="17.28515625" style="14"/>
    <col min="10243" max="10243" width="4" style="14" customWidth="1"/>
    <col min="10244" max="10244" width="32.5703125" style="14" customWidth="1"/>
    <col min="10245" max="10245" width="9.42578125" style="14" bestFit="1" customWidth="1"/>
    <col min="10246" max="10246" width="20.85546875" style="14" customWidth="1"/>
    <col min="10247" max="10247" width="18" style="14" customWidth="1"/>
    <col min="10248" max="10248" width="2" style="14" customWidth="1"/>
    <col min="10249" max="10249" width="16.5703125" style="14" bestFit="1" customWidth="1"/>
    <col min="10250" max="10250" width="12.5703125" style="14" bestFit="1" customWidth="1"/>
    <col min="10251" max="10251" width="12.28515625" style="14" customWidth="1"/>
    <col min="10252" max="10252" width="10.28515625" style="14" bestFit="1" customWidth="1"/>
    <col min="10253" max="10253" width="12" style="14" bestFit="1" customWidth="1"/>
    <col min="10254" max="10254" width="16.5703125" style="14" bestFit="1" customWidth="1"/>
    <col min="10255" max="10255" width="13.5703125" style="14" customWidth="1"/>
    <col min="10256" max="10256" width="16.5703125" style="14" bestFit="1" customWidth="1"/>
    <col min="10257" max="10257" width="1.85546875" style="14" customWidth="1"/>
    <col min="10258" max="10258" width="12.5703125" style="14" bestFit="1" customWidth="1"/>
    <col min="10259" max="10259" width="14.140625" style="14" bestFit="1" customWidth="1"/>
    <col min="10260" max="10260" width="12.5703125" style="14" bestFit="1" customWidth="1"/>
    <col min="10261" max="10261" width="9.5703125" style="14" customWidth="1"/>
    <col min="10262" max="10262" width="14.140625" style="14" bestFit="1" customWidth="1"/>
    <col min="10263" max="10263" width="11" style="14" bestFit="1" customWidth="1"/>
    <col min="10264" max="10264" width="11.42578125" style="14" customWidth="1"/>
    <col min="10265" max="10265" width="1.5703125" style="14" customWidth="1"/>
    <col min="10266" max="10266" width="16.5703125" style="14" bestFit="1" customWidth="1"/>
    <col min="10267" max="10267" width="1.5703125" style="14" customWidth="1"/>
    <col min="10268" max="10268" width="9.28515625" style="14" customWidth="1"/>
    <col min="10269" max="10269" width="0.85546875" style="14" customWidth="1"/>
    <col min="10270" max="10270" width="16.5703125" style="14" bestFit="1" customWidth="1"/>
    <col min="10271" max="10279" width="11.7109375" style="14" customWidth="1"/>
    <col min="10280" max="10498" width="17.28515625" style="14"/>
    <col min="10499" max="10499" width="4" style="14" customWidth="1"/>
    <col min="10500" max="10500" width="32.5703125" style="14" customWidth="1"/>
    <col min="10501" max="10501" width="9.42578125" style="14" bestFit="1" customWidth="1"/>
    <col min="10502" max="10502" width="20.85546875" style="14" customWidth="1"/>
    <col min="10503" max="10503" width="18" style="14" customWidth="1"/>
    <col min="10504" max="10504" width="2" style="14" customWidth="1"/>
    <col min="10505" max="10505" width="16.5703125" style="14" bestFit="1" customWidth="1"/>
    <col min="10506" max="10506" width="12.5703125" style="14" bestFit="1" customWidth="1"/>
    <col min="10507" max="10507" width="12.28515625" style="14" customWidth="1"/>
    <col min="10508" max="10508" width="10.28515625" style="14" bestFit="1" customWidth="1"/>
    <col min="10509" max="10509" width="12" style="14" bestFit="1" customWidth="1"/>
    <col min="10510" max="10510" width="16.5703125" style="14" bestFit="1" customWidth="1"/>
    <col min="10511" max="10511" width="13.5703125" style="14" customWidth="1"/>
    <col min="10512" max="10512" width="16.5703125" style="14" bestFit="1" customWidth="1"/>
    <col min="10513" max="10513" width="1.85546875" style="14" customWidth="1"/>
    <col min="10514" max="10514" width="12.5703125" style="14" bestFit="1" customWidth="1"/>
    <col min="10515" max="10515" width="14.140625" style="14" bestFit="1" customWidth="1"/>
    <col min="10516" max="10516" width="12.5703125" style="14" bestFit="1" customWidth="1"/>
    <col min="10517" max="10517" width="9.5703125" style="14" customWidth="1"/>
    <col min="10518" max="10518" width="14.140625" style="14" bestFit="1" customWidth="1"/>
    <col min="10519" max="10519" width="11" style="14" bestFit="1" customWidth="1"/>
    <col min="10520" max="10520" width="11.42578125" style="14" customWidth="1"/>
    <col min="10521" max="10521" width="1.5703125" style="14" customWidth="1"/>
    <col min="10522" max="10522" width="16.5703125" style="14" bestFit="1" customWidth="1"/>
    <col min="10523" max="10523" width="1.5703125" style="14" customWidth="1"/>
    <col min="10524" max="10524" width="9.28515625" style="14" customWidth="1"/>
    <col min="10525" max="10525" width="0.85546875" style="14" customWidth="1"/>
    <col min="10526" max="10526" width="16.5703125" style="14" bestFit="1" customWidth="1"/>
    <col min="10527" max="10535" width="11.7109375" style="14" customWidth="1"/>
    <col min="10536" max="10754" width="17.28515625" style="14"/>
    <col min="10755" max="10755" width="4" style="14" customWidth="1"/>
    <col min="10756" max="10756" width="32.5703125" style="14" customWidth="1"/>
    <col min="10757" max="10757" width="9.42578125" style="14" bestFit="1" customWidth="1"/>
    <col min="10758" max="10758" width="20.85546875" style="14" customWidth="1"/>
    <col min="10759" max="10759" width="18" style="14" customWidth="1"/>
    <col min="10760" max="10760" width="2" style="14" customWidth="1"/>
    <col min="10761" max="10761" width="16.5703125" style="14" bestFit="1" customWidth="1"/>
    <col min="10762" max="10762" width="12.5703125" style="14" bestFit="1" customWidth="1"/>
    <col min="10763" max="10763" width="12.28515625" style="14" customWidth="1"/>
    <col min="10764" max="10764" width="10.28515625" style="14" bestFit="1" customWidth="1"/>
    <col min="10765" max="10765" width="12" style="14" bestFit="1" customWidth="1"/>
    <col min="10766" max="10766" width="16.5703125" style="14" bestFit="1" customWidth="1"/>
    <col min="10767" max="10767" width="13.5703125" style="14" customWidth="1"/>
    <col min="10768" max="10768" width="16.5703125" style="14" bestFit="1" customWidth="1"/>
    <col min="10769" max="10769" width="1.85546875" style="14" customWidth="1"/>
    <col min="10770" max="10770" width="12.5703125" style="14" bestFit="1" customWidth="1"/>
    <col min="10771" max="10771" width="14.140625" style="14" bestFit="1" customWidth="1"/>
    <col min="10772" max="10772" width="12.5703125" style="14" bestFit="1" customWidth="1"/>
    <col min="10773" max="10773" width="9.5703125" style="14" customWidth="1"/>
    <col min="10774" max="10774" width="14.140625" style="14" bestFit="1" customWidth="1"/>
    <col min="10775" max="10775" width="11" style="14" bestFit="1" customWidth="1"/>
    <col min="10776" max="10776" width="11.42578125" style="14" customWidth="1"/>
    <col min="10777" max="10777" width="1.5703125" style="14" customWidth="1"/>
    <col min="10778" max="10778" width="16.5703125" style="14" bestFit="1" customWidth="1"/>
    <col min="10779" max="10779" width="1.5703125" style="14" customWidth="1"/>
    <col min="10780" max="10780" width="9.28515625" style="14" customWidth="1"/>
    <col min="10781" max="10781" width="0.85546875" style="14" customWidth="1"/>
    <col min="10782" max="10782" width="16.5703125" style="14" bestFit="1" customWidth="1"/>
    <col min="10783" max="10791" width="11.7109375" style="14" customWidth="1"/>
    <col min="10792" max="11010" width="17.28515625" style="14"/>
    <col min="11011" max="11011" width="4" style="14" customWidth="1"/>
    <col min="11012" max="11012" width="32.5703125" style="14" customWidth="1"/>
    <col min="11013" max="11013" width="9.42578125" style="14" bestFit="1" customWidth="1"/>
    <col min="11014" max="11014" width="20.85546875" style="14" customWidth="1"/>
    <col min="11015" max="11015" width="18" style="14" customWidth="1"/>
    <col min="11016" max="11016" width="2" style="14" customWidth="1"/>
    <col min="11017" max="11017" width="16.5703125" style="14" bestFit="1" customWidth="1"/>
    <col min="11018" max="11018" width="12.5703125" style="14" bestFit="1" customWidth="1"/>
    <col min="11019" max="11019" width="12.28515625" style="14" customWidth="1"/>
    <col min="11020" max="11020" width="10.28515625" style="14" bestFit="1" customWidth="1"/>
    <col min="11021" max="11021" width="12" style="14" bestFit="1" customWidth="1"/>
    <col min="11022" max="11022" width="16.5703125" style="14" bestFit="1" customWidth="1"/>
    <col min="11023" max="11023" width="13.5703125" style="14" customWidth="1"/>
    <col min="11024" max="11024" width="16.5703125" style="14" bestFit="1" customWidth="1"/>
    <col min="11025" max="11025" width="1.85546875" style="14" customWidth="1"/>
    <col min="11026" max="11026" width="12.5703125" style="14" bestFit="1" customWidth="1"/>
    <col min="11027" max="11027" width="14.140625" style="14" bestFit="1" customWidth="1"/>
    <col min="11028" max="11028" width="12.5703125" style="14" bestFit="1" customWidth="1"/>
    <col min="11029" max="11029" width="9.5703125" style="14" customWidth="1"/>
    <col min="11030" max="11030" width="14.140625" style="14" bestFit="1" customWidth="1"/>
    <col min="11031" max="11031" width="11" style="14" bestFit="1" customWidth="1"/>
    <col min="11032" max="11032" width="11.42578125" style="14" customWidth="1"/>
    <col min="11033" max="11033" width="1.5703125" style="14" customWidth="1"/>
    <col min="11034" max="11034" width="16.5703125" style="14" bestFit="1" customWidth="1"/>
    <col min="11035" max="11035" width="1.5703125" style="14" customWidth="1"/>
    <col min="11036" max="11036" width="9.28515625" style="14" customWidth="1"/>
    <col min="11037" max="11037" width="0.85546875" style="14" customWidth="1"/>
    <col min="11038" max="11038" width="16.5703125" style="14" bestFit="1" customWidth="1"/>
    <col min="11039" max="11047" width="11.7109375" style="14" customWidth="1"/>
    <col min="11048" max="11266" width="17.28515625" style="14"/>
    <col min="11267" max="11267" width="4" style="14" customWidth="1"/>
    <col min="11268" max="11268" width="32.5703125" style="14" customWidth="1"/>
    <col min="11269" max="11269" width="9.42578125" style="14" bestFit="1" customWidth="1"/>
    <col min="11270" max="11270" width="20.85546875" style="14" customWidth="1"/>
    <col min="11271" max="11271" width="18" style="14" customWidth="1"/>
    <col min="11272" max="11272" width="2" style="14" customWidth="1"/>
    <col min="11273" max="11273" width="16.5703125" style="14" bestFit="1" customWidth="1"/>
    <col min="11274" max="11274" width="12.5703125" style="14" bestFit="1" customWidth="1"/>
    <col min="11275" max="11275" width="12.28515625" style="14" customWidth="1"/>
    <col min="11276" max="11276" width="10.28515625" style="14" bestFit="1" customWidth="1"/>
    <col min="11277" max="11277" width="12" style="14" bestFit="1" customWidth="1"/>
    <col min="11278" max="11278" width="16.5703125" style="14" bestFit="1" customWidth="1"/>
    <col min="11279" max="11279" width="13.5703125" style="14" customWidth="1"/>
    <col min="11280" max="11280" width="16.5703125" style="14" bestFit="1" customWidth="1"/>
    <col min="11281" max="11281" width="1.85546875" style="14" customWidth="1"/>
    <col min="11282" max="11282" width="12.5703125" style="14" bestFit="1" customWidth="1"/>
    <col min="11283" max="11283" width="14.140625" style="14" bestFit="1" customWidth="1"/>
    <col min="11284" max="11284" width="12.5703125" style="14" bestFit="1" customWidth="1"/>
    <col min="11285" max="11285" width="9.5703125" style="14" customWidth="1"/>
    <col min="11286" max="11286" width="14.140625" style="14" bestFit="1" customWidth="1"/>
    <col min="11287" max="11287" width="11" style="14" bestFit="1" customWidth="1"/>
    <col min="11288" max="11288" width="11.42578125" style="14" customWidth="1"/>
    <col min="11289" max="11289" width="1.5703125" style="14" customWidth="1"/>
    <col min="11290" max="11290" width="16.5703125" style="14" bestFit="1" customWidth="1"/>
    <col min="11291" max="11291" width="1.5703125" style="14" customWidth="1"/>
    <col min="11292" max="11292" width="9.28515625" style="14" customWidth="1"/>
    <col min="11293" max="11293" width="0.85546875" style="14" customWidth="1"/>
    <col min="11294" max="11294" width="16.5703125" style="14" bestFit="1" customWidth="1"/>
    <col min="11295" max="11303" width="11.7109375" style="14" customWidth="1"/>
    <col min="11304" max="11522" width="17.28515625" style="14"/>
    <col min="11523" max="11523" width="4" style="14" customWidth="1"/>
    <col min="11524" max="11524" width="32.5703125" style="14" customWidth="1"/>
    <col min="11525" max="11525" width="9.42578125" style="14" bestFit="1" customWidth="1"/>
    <col min="11526" max="11526" width="20.85546875" style="14" customWidth="1"/>
    <col min="11527" max="11527" width="18" style="14" customWidth="1"/>
    <col min="11528" max="11528" width="2" style="14" customWidth="1"/>
    <col min="11529" max="11529" width="16.5703125" style="14" bestFit="1" customWidth="1"/>
    <col min="11530" max="11530" width="12.5703125" style="14" bestFit="1" customWidth="1"/>
    <col min="11531" max="11531" width="12.28515625" style="14" customWidth="1"/>
    <col min="11532" max="11532" width="10.28515625" style="14" bestFit="1" customWidth="1"/>
    <col min="11533" max="11533" width="12" style="14" bestFit="1" customWidth="1"/>
    <col min="11534" max="11534" width="16.5703125" style="14" bestFit="1" customWidth="1"/>
    <col min="11535" max="11535" width="13.5703125" style="14" customWidth="1"/>
    <col min="11536" max="11536" width="16.5703125" style="14" bestFit="1" customWidth="1"/>
    <col min="11537" max="11537" width="1.85546875" style="14" customWidth="1"/>
    <col min="11538" max="11538" width="12.5703125" style="14" bestFit="1" customWidth="1"/>
    <col min="11539" max="11539" width="14.140625" style="14" bestFit="1" customWidth="1"/>
    <col min="11540" max="11540" width="12.5703125" style="14" bestFit="1" customWidth="1"/>
    <col min="11541" max="11541" width="9.5703125" style="14" customWidth="1"/>
    <col min="11542" max="11542" width="14.140625" style="14" bestFit="1" customWidth="1"/>
    <col min="11543" max="11543" width="11" style="14" bestFit="1" customWidth="1"/>
    <col min="11544" max="11544" width="11.42578125" style="14" customWidth="1"/>
    <col min="11545" max="11545" width="1.5703125" style="14" customWidth="1"/>
    <col min="11546" max="11546" width="16.5703125" style="14" bestFit="1" customWidth="1"/>
    <col min="11547" max="11547" width="1.5703125" style="14" customWidth="1"/>
    <col min="11548" max="11548" width="9.28515625" style="14" customWidth="1"/>
    <col min="11549" max="11549" width="0.85546875" style="14" customWidth="1"/>
    <col min="11550" max="11550" width="16.5703125" style="14" bestFit="1" customWidth="1"/>
    <col min="11551" max="11559" width="11.7109375" style="14" customWidth="1"/>
    <col min="11560" max="11778" width="17.28515625" style="14"/>
    <col min="11779" max="11779" width="4" style="14" customWidth="1"/>
    <col min="11780" max="11780" width="32.5703125" style="14" customWidth="1"/>
    <col min="11781" max="11781" width="9.42578125" style="14" bestFit="1" customWidth="1"/>
    <col min="11782" max="11782" width="20.85546875" style="14" customWidth="1"/>
    <col min="11783" max="11783" width="18" style="14" customWidth="1"/>
    <col min="11784" max="11784" width="2" style="14" customWidth="1"/>
    <col min="11785" max="11785" width="16.5703125" style="14" bestFit="1" customWidth="1"/>
    <col min="11786" max="11786" width="12.5703125" style="14" bestFit="1" customWidth="1"/>
    <col min="11787" max="11787" width="12.28515625" style="14" customWidth="1"/>
    <col min="11788" max="11788" width="10.28515625" style="14" bestFit="1" customWidth="1"/>
    <col min="11789" max="11789" width="12" style="14" bestFit="1" customWidth="1"/>
    <col min="11790" max="11790" width="16.5703125" style="14" bestFit="1" customWidth="1"/>
    <col min="11791" max="11791" width="13.5703125" style="14" customWidth="1"/>
    <col min="11792" max="11792" width="16.5703125" style="14" bestFit="1" customWidth="1"/>
    <col min="11793" max="11793" width="1.85546875" style="14" customWidth="1"/>
    <col min="11794" max="11794" width="12.5703125" style="14" bestFit="1" customWidth="1"/>
    <col min="11795" max="11795" width="14.140625" style="14" bestFit="1" customWidth="1"/>
    <col min="11796" max="11796" width="12.5703125" style="14" bestFit="1" customWidth="1"/>
    <col min="11797" max="11797" width="9.5703125" style="14" customWidth="1"/>
    <col min="11798" max="11798" width="14.140625" style="14" bestFit="1" customWidth="1"/>
    <col min="11799" max="11799" width="11" style="14" bestFit="1" customWidth="1"/>
    <col min="11800" max="11800" width="11.42578125" style="14" customWidth="1"/>
    <col min="11801" max="11801" width="1.5703125" style="14" customWidth="1"/>
    <col min="11802" max="11802" width="16.5703125" style="14" bestFit="1" customWidth="1"/>
    <col min="11803" max="11803" width="1.5703125" style="14" customWidth="1"/>
    <col min="11804" max="11804" width="9.28515625" style="14" customWidth="1"/>
    <col min="11805" max="11805" width="0.85546875" style="14" customWidth="1"/>
    <col min="11806" max="11806" width="16.5703125" style="14" bestFit="1" customWidth="1"/>
    <col min="11807" max="11815" width="11.7109375" style="14" customWidth="1"/>
    <col min="11816" max="12034" width="17.28515625" style="14"/>
    <col min="12035" max="12035" width="4" style="14" customWidth="1"/>
    <col min="12036" max="12036" width="32.5703125" style="14" customWidth="1"/>
    <col min="12037" max="12037" width="9.42578125" style="14" bestFit="1" customWidth="1"/>
    <col min="12038" max="12038" width="20.85546875" style="14" customWidth="1"/>
    <col min="12039" max="12039" width="18" style="14" customWidth="1"/>
    <col min="12040" max="12040" width="2" style="14" customWidth="1"/>
    <col min="12041" max="12041" width="16.5703125" style="14" bestFit="1" customWidth="1"/>
    <col min="12042" max="12042" width="12.5703125" style="14" bestFit="1" customWidth="1"/>
    <col min="12043" max="12043" width="12.28515625" style="14" customWidth="1"/>
    <col min="12044" max="12044" width="10.28515625" style="14" bestFit="1" customWidth="1"/>
    <col min="12045" max="12045" width="12" style="14" bestFit="1" customWidth="1"/>
    <col min="12046" max="12046" width="16.5703125" style="14" bestFit="1" customWidth="1"/>
    <col min="12047" max="12047" width="13.5703125" style="14" customWidth="1"/>
    <col min="12048" max="12048" width="16.5703125" style="14" bestFit="1" customWidth="1"/>
    <col min="12049" max="12049" width="1.85546875" style="14" customWidth="1"/>
    <col min="12050" max="12050" width="12.5703125" style="14" bestFit="1" customWidth="1"/>
    <col min="12051" max="12051" width="14.140625" style="14" bestFit="1" customWidth="1"/>
    <col min="12052" max="12052" width="12.5703125" style="14" bestFit="1" customWidth="1"/>
    <col min="12053" max="12053" width="9.5703125" style="14" customWidth="1"/>
    <col min="12054" max="12054" width="14.140625" style="14" bestFit="1" customWidth="1"/>
    <col min="12055" max="12055" width="11" style="14" bestFit="1" customWidth="1"/>
    <col min="12056" max="12056" width="11.42578125" style="14" customWidth="1"/>
    <col min="12057" max="12057" width="1.5703125" style="14" customWidth="1"/>
    <col min="12058" max="12058" width="16.5703125" style="14" bestFit="1" customWidth="1"/>
    <col min="12059" max="12059" width="1.5703125" style="14" customWidth="1"/>
    <col min="12060" max="12060" width="9.28515625" style="14" customWidth="1"/>
    <col min="12061" max="12061" width="0.85546875" style="14" customWidth="1"/>
    <col min="12062" max="12062" width="16.5703125" style="14" bestFit="1" customWidth="1"/>
    <col min="12063" max="12071" width="11.7109375" style="14" customWidth="1"/>
    <col min="12072" max="12290" width="17.28515625" style="14"/>
    <col min="12291" max="12291" width="4" style="14" customWidth="1"/>
    <col min="12292" max="12292" width="32.5703125" style="14" customWidth="1"/>
    <col min="12293" max="12293" width="9.42578125" style="14" bestFit="1" customWidth="1"/>
    <col min="12294" max="12294" width="20.85546875" style="14" customWidth="1"/>
    <col min="12295" max="12295" width="18" style="14" customWidth="1"/>
    <col min="12296" max="12296" width="2" style="14" customWidth="1"/>
    <col min="12297" max="12297" width="16.5703125" style="14" bestFit="1" customWidth="1"/>
    <col min="12298" max="12298" width="12.5703125" style="14" bestFit="1" customWidth="1"/>
    <col min="12299" max="12299" width="12.28515625" style="14" customWidth="1"/>
    <col min="12300" max="12300" width="10.28515625" style="14" bestFit="1" customWidth="1"/>
    <col min="12301" max="12301" width="12" style="14" bestFit="1" customWidth="1"/>
    <col min="12302" max="12302" width="16.5703125" style="14" bestFit="1" customWidth="1"/>
    <col min="12303" max="12303" width="13.5703125" style="14" customWidth="1"/>
    <col min="12304" max="12304" width="16.5703125" style="14" bestFit="1" customWidth="1"/>
    <col min="12305" max="12305" width="1.85546875" style="14" customWidth="1"/>
    <col min="12306" max="12306" width="12.5703125" style="14" bestFit="1" customWidth="1"/>
    <col min="12307" max="12307" width="14.140625" style="14" bestFit="1" customWidth="1"/>
    <col min="12308" max="12308" width="12.5703125" style="14" bestFit="1" customWidth="1"/>
    <col min="12309" max="12309" width="9.5703125" style="14" customWidth="1"/>
    <col min="12310" max="12310" width="14.140625" style="14" bestFit="1" customWidth="1"/>
    <col min="12311" max="12311" width="11" style="14" bestFit="1" customWidth="1"/>
    <col min="12312" max="12312" width="11.42578125" style="14" customWidth="1"/>
    <col min="12313" max="12313" width="1.5703125" style="14" customWidth="1"/>
    <col min="12314" max="12314" width="16.5703125" style="14" bestFit="1" customWidth="1"/>
    <col min="12315" max="12315" width="1.5703125" style="14" customWidth="1"/>
    <col min="12316" max="12316" width="9.28515625" style="14" customWidth="1"/>
    <col min="12317" max="12317" width="0.85546875" style="14" customWidth="1"/>
    <col min="12318" max="12318" width="16.5703125" style="14" bestFit="1" customWidth="1"/>
    <col min="12319" max="12327" width="11.7109375" style="14" customWidth="1"/>
    <col min="12328" max="12546" width="17.28515625" style="14"/>
    <col min="12547" max="12547" width="4" style="14" customWidth="1"/>
    <col min="12548" max="12548" width="32.5703125" style="14" customWidth="1"/>
    <col min="12549" max="12549" width="9.42578125" style="14" bestFit="1" customWidth="1"/>
    <col min="12550" max="12550" width="20.85546875" style="14" customWidth="1"/>
    <col min="12551" max="12551" width="18" style="14" customWidth="1"/>
    <col min="12552" max="12552" width="2" style="14" customWidth="1"/>
    <col min="12553" max="12553" width="16.5703125" style="14" bestFit="1" customWidth="1"/>
    <col min="12554" max="12554" width="12.5703125" style="14" bestFit="1" customWidth="1"/>
    <col min="12555" max="12555" width="12.28515625" style="14" customWidth="1"/>
    <col min="12556" max="12556" width="10.28515625" style="14" bestFit="1" customWidth="1"/>
    <col min="12557" max="12557" width="12" style="14" bestFit="1" customWidth="1"/>
    <col min="12558" max="12558" width="16.5703125" style="14" bestFit="1" customWidth="1"/>
    <col min="12559" max="12559" width="13.5703125" style="14" customWidth="1"/>
    <col min="12560" max="12560" width="16.5703125" style="14" bestFit="1" customWidth="1"/>
    <col min="12561" max="12561" width="1.85546875" style="14" customWidth="1"/>
    <col min="12562" max="12562" width="12.5703125" style="14" bestFit="1" customWidth="1"/>
    <col min="12563" max="12563" width="14.140625" style="14" bestFit="1" customWidth="1"/>
    <col min="12564" max="12564" width="12.5703125" style="14" bestFit="1" customWidth="1"/>
    <col min="12565" max="12565" width="9.5703125" style="14" customWidth="1"/>
    <col min="12566" max="12566" width="14.140625" style="14" bestFit="1" customWidth="1"/>
    <col min="12567" max="12567" width="11" style="14" bestFit="1" customWidth="1"/>
    <col min="12568" max="12568" width="11.42578125" style="14" customWidth="1"/>
    <col min="12569" max="12569" width="1.5703125" style="14" customWidth="1"/>
    <col min="12570" max="12570" width="16.5703125" style="14" bestFit="1" customWidth="1"/>
    <col min="12571" max="12571" width="1.5703125" style="14" customWidth="1"/>
    <col min="12572" max="12572" width="9.28515625" style="14" customWidth="1"/>
    <col min="12573" max="12573" width="0.85546875" style="14" customWidth="1"/>
    <col min="12574" max="12574" width="16.5703125" style="14" bestFit="1" customWidth="1"/>
    <col min="12575" max="12583" width="11.7109375" style="14" customWidth="1"/>
    <col min="12584" max="12802" width="17.28515625" style="14"/>
    <col min="12803" max="12803" width="4" style="14" customWidth="1"/>
    <col min="12804" max="12804" width="32.5703125" style="14" customWidth="1"/>
    <col min="12805" max="12805" width="9.42578125" style="14" bestFit="1" customWidth="1"/>
    <col min="12806" max="12806" width="20.85546875" style="14" customWidth="1"/>
    <col min="12807" max="12807" width="18" style="14" customWidth="1"/>
    <col min="12808" max="12808" width="2" style="14" customWidth="1"/>
    <col min="12809" max="12809" width="16.5703125" style="14" bestFit="1" customWidth="1"/>
    <col min="12810" max="12810" width="12.5703125" style="14" bestFit="1" customWidth="1"/>
    <col min="12811" max="12811" width="12.28515625" style="14" customWidth="1"/>
    <col min="12812" max="12812" width="10.28515625" style="14" bestFit="1" customWidth="1"/>
    <col min="12813" max="12813" width="12" style="14" bestFit="1" customWidth="1"/>
    <col min="12814" max="12814" width="16.5703125" style="14" bestFit="1" customWidth="1"/>
    <col min="12815" max="12815" width="13.5703125" style="14" customWidth="1"/>
    <col min="12816" max="12816" width="16.5703125" style="14" bestFit="1" customWidth="1"/>
    <col min="12817" max="12817" width="1.85546875" style="14" customWidth="1"/>
    <col min="12818" max="12818" width="12.5703125" style="14" bestFit="1" customWidth="1"/>
    <col min="12819" max="12819" width="14.140625" style="14" bestFit="1" customWidth="1"/>
    <col min="12820" max="12820" width="12.5703125" style="14" bestFit="1" customWidth="1"/>
    <col min="12821" max="12821" width="9.5703125" style="14" customWidth="1"/>
    <col min="12822" max="12822" width="14.140625" style="14" bestFit="1" customWidth="1"/>
    <col min="12823" max="12823" width="11" style="14" bestFit="1" customWidth="1"/>
    <col min="12824" max="12824" width="11.42578125" style="14" customWidth="1"/>
    <col min="12825" max="12825" width="1.5703125" style="14" customWidth="1"/>
    <col min="12826" max="12826" width="16.5703125" style="14" bestFit="1" customWidth="1"/>
    <col min="12827" max="12827" width="1.5703125" style="14" customWidth="1"/>
    <col min="12828" max="12828" width="9.28515625" style="14" customWidth="1"/>
    <col min="12829" max="12829" width="0.85546875" style="14" customWidth="1"/>
    <col min="12830" max="12830" width="16.5703125" style="14" bestFit="1" customWidth="1"/>
    <col min="12831" max="12839" width="11.7109375" style="14" customWidth="1"/>
    <col min="12840" max="13058" width="17.28515625" style="14"/>
    <col min="13059" max="13059" width="4" style="14" customWidth="1"/>
    <col min="13060" max="13060" width="32.5703125" style="14" customWidth="1"/>
    <col min="13061" max="13061" width="9.42578125" style="14" bestFit="1" customWidth="1"/>
    <col min="13062" max="13062" width="20.85546875" style="14" customWidth="1"/>
    <col min="13063" max="13063" width="18" style="14" customWidth="1"/>
    <col min="13064" max="13064" width="2" style="14" customWidth="1"/>
    <col min="13065" max="13065" width="16.5703125" style="14" bestFit="1" customWidth="1"/>
    <col min="13066" max="13066" width="12.5703125" style="14" bestFit="1" customWidth="1"/>
    <col min="13067" max="13067" width="12.28515625" style="14" customWidth="1"/>
    <col min="13068" max="13068" width="10.28515625" style="14" bestFit="1" customWidth="1"/>
    <col min="13069" max="13069" width="12" style="14" bestFit="1" customWidth="1"/>
    <col min="13070" max="13070" width="16.5703125" style="14" bestFit="1" customWidth="1"/>
    <col min="13071" max="13071" width="13.5703125" style="14" customWidth="1"/>
    <col min="13072" max="13072" width="16.5703125" style="14" bestFit="1" customWidth="1"/>
    <col min="13073" max="13073" width="1.85546875" style="14" customWidth="1"/>
    <col min="13074" max="13074" width="12.5703125" style="14" bestFit="1" customWidth="1"/>
    <col min="13075" max="13075" width="14.140625" style="14" bestFit="1" customWidth="1"/>
    <col min="13076" max="13076" width="12.5703125" style="14" bestFit="1" customWidth="1"/>
    <col min="13077" max="13077" width="9.5703125" style="14" customWidth="1"/>
    <col min="13078" max="13078" width="14.140625" style="14" bestFit="1" customWidth="1"/>
    <col min="13079" max="13079" width="11" style="14" bestFit="1" customWidth="1"/>
    <col min="13080" max="13080" width="11.42578125" style="14" customWidth="1"/>
    <col min="13081" max="13081" width="1.5703125" style="14" customWidth="1"/>
    <col min="13082" max="13082" width="16.5703125" style="14" bestFit="1" customWidth="1"/>
    <col min="13083" max="13083" width="1.5703125" style="14" customWidth="1"/>
    <col min="13084" max="13084" width="9.28515625" style="14" customWidth="1"/>
    <col min="13085" max="13085" width="0.85546875" style="14" customWidth="1"/>
    <col min="13086" max="13086" width="16.5703125" style="14" bestFit="1" customWidth="1"/>
    <col min="13087" max="13095" width="11.7109375" style="14" customWidth="1"/>
    <col min="13096" max="13314" width="17.28515625" style="14"/>
    <col min="13315" max="13315" width="4" style="14" customWidth="1"/>
    <col min="13316" max="13316" width="32.5703125" style="14" customWidth="1"/>
    <col min="13317" max="13317" width="9.42578125" style="14" bestFit="1" customWidth="1"/>
    <col min="13318" max="13318" width="20.85546875" style="14" customWidth="1"/>
    <col min="13319" max="13319" width="18" style="14" customWidth="1"/>
    <col min="13320" max="13320" width="2" style="14" customWidth="1"/>
    <col min="13321" max="13321" width="16.5703125" style="14" bestFit="1" customWidth="1"/>
    <col min="13322" max="13322" width="12.5703125" style="14" bestFit="1" customWidth="1"/>
    <col min="13323" max="13323" width="12.28515625" style="14" customWidth="1"/>
    <col min="13324" max="13324" width="10.28515625" style="14" bestFit="1" customWidth="1"/>
    <col min="13325" max="13325" width="12" style="14" bestFit="1" customWidth="1"/>
    <col min="13326" max="13326" width="16.5703125" style="14" bestFit="1" customWidth="1"/>
    <col min="13327" max="13327" width="13.5703125" style="14" customWidth="1"/>
    <col min="13328" max="13328" width="16.5703125" style="14" bestFit="1" customWidth="1"/>
    <col min="13329" max="13329" width="1.85546875" style="14" customWidth="1"/>
    <col min="13330" max="13330" width="12.5703125" style="14" bestFit="1" customWidth="1"/>
    <col min="13331" max="13331" width="14.140625" style="14" bestFit="1" customWidth="1"/>
    <col min="13332" max="13332" width="12.5703125" style="14" bestFit="1" customWidth="1"/>
    <col min="13333" max="13333" width="9.5703125" style="14" customWidth="1"/>
    <col min="13334" max="13334" width="14.140625" style="14" bestFit="1" customWidth="1"/>
    <col min="13335" max="13335" width="11" style="14" bestFit="1" customWidth="1"/>
    <col min="13336" max="13336" width="11.42578125" style="14" customWidth="1"/>
    <col min="13337" max="13337" width="1.5703125" style="14" customWidth="1"/>
    <col min="13338" max="13338" width="16.5703125" style="14" bestFit="1" customWidth="1"/>
    <col min="13339" max="13339" width="1.5703125" style="14" customWidth="1"/>
    <col min="13340" max="13340" width="9.28515625" style="14" customWidth="1"/>
    <col min="13341" max="13341" width="0.85546875" style="14" customWidth="1"/>
    <col min="13342" max="13342" width="16.5703125" style="14" bestFit="1" customWidth="1"/>
    <col min="13343" max="13351" width="11.7109375" style="14" customWidth="1"/>
    <col min="13352" max="13570" width="17.28515625" style="14"/>
    <col min="13571" max="13571" width="4" style="14" customWidth="1"/>
    <col min="13572" max="13572" width="32.5703125" style="14" customWidth="1"/>
    <col min="13573" max="13573" width="9.42578125" style="14" bestFit="1" customWidth="1"/>
    <col min="13574" max="13574" width="20.85546875" style="14" customWidth="1"/>
    <col min="13575" max="13575" width="18" style="14" customWidth="1"/>
    <col min="13576" max="13576" width="2" style="14" customWidth="1"/>
    <col min="13577" max="13577" width="16.5703125" style="14" bestFit="1" customWidth="1"/>
    <col min="13578" max="13578" width="12.5703125" style="14" bestFit="1" customWidth="1"/>
    <col min="13579" max="13579" width="12.28515625" style="14" customWidth="1"/>
    <col min="13580" max="13580" width="10.28515625" style="14" bestFit="1" customWidth="1"/>
    <col min="13581" max="13581" width="12" style="14" bestFit="1" customWidth="1"/>
    <col min="13582" max="13582" width="16.5703125" style="14" bestFit="1" customWidth="1"/>
    <col min="13583" max="13583" width="13.5703125" style="14" customWidth="1"/>
    <col min="13584" max="13584" width="16.5703125" style="14" bestFit="1" customWidth="1"/>
    <col min="13585" max="13585" width="1.85546875" style="14" customWidth="1"/>
    <col min="13586" max="13586" width="12.5703125" style="14" bestFit="1" customWidth="1"/>
    <col min="13587" max="13587" width="14.140625" style="14" bestFit="1" customWidth="1"/>
    <col min="13588" max="13588" width="12.5703125" style="14" bestFit="1" customWidth="1"/>
    <col min="13589" max="13589" width="9.5703125" style="14" customWidth="1"/>
    <col min="13590" max="13590" width="14.140625" style="14" bestFit="1" customWidth="1"/>
    <col min="13591" max="13591" width="11" style="14" bestFit="1" customWidth="1"/>
    <col min="13592" max="13592" width="11.42578125" style="14" customWidth="1"/>
    <col min="13593" max="13593" width="1.5703125" style="14" customWidth="1"/>
    <col min="13594" max="13594" width="16.5703125" style="14" bestFit="1" customWidth="1"/>
    <col min="13595" max="13595" width="1.5703125" style="14" customWidth="1"/>
    <col min="13596" max="13596" width="9.28515625" style="14" customWidth="1"/>
    <col min="13597" max="13597" width="0.85546875" style="14" customWidth="1"/>
    <col min="13598" max="13598" width="16.5703125" style="14" bestFit="1" customWidth="1"/>
    <col min="13599" max="13607" width="11.7109375" style="14" customWidth="1"/>
    <col min="13608" max="13826" width="17.28515625" style="14"/>
    <col min="13827" max="13827" width="4" style="14" customWidth="1"/>
    <col min="13828" max="13828" width="32.5703125" style="14" customWidth="1"/>
    <col min="13829" max="13829" width="9.42578125" style="14" bestFit="1" customWidth="1"/>
    <col min="13830" max="13830" width="20.85546875" style="14" customWidth="1"/>
    <col min="13831" max="13831" width="18" style="14" customWidth="1"/>
    <col min="13832" max="13832" width="2" style="14" customWidth="1"/>
    <col min="13833" max="13833" width="16.5703125" style="14" bestFit="1" customWidth="1"/>
    <col min="13834" max="13834" width="12.5703125" style="14" bestFit="1" customWidth="1"/>
    <col min="13835" max="13835" width="12.28515625" style="14" customWidth="1"/>
    <col min="13836" max="13836" width="10.28515625" style="14" bestFit="1" customWidth="1"/>
    <col min="13837" max="13837" width="12" style="14" bestFit="1" customWidth="1"/>
    <col min="13838" max="13838" width="16.5703125" style="14" bestFit="1" customWidth="1"/>
    <col min="13839" max="13839" width="13.5703125" style="14" customWidth="1"/>
    <col min="13840" max="13840" width="16.5703125" style="14" bestFit="1" customWidth="1"/>
    <col min="13841" max="13841" width="1.85546875" style="14" customWidth="1"/>
    <col min="13842" max="13842" width="12.5703125" style="14" bestFit="1" customWidth="1"/>
    <col min="13843" max="13843" width="14.140625" style="14" bestFit="1" customWidth="1"/>
    <col min="13844" max="13844" width="12.5703125" style="14" bestFit="1" customWidth="1"/>
    <col min="13845" max="13845" width="9.5703125" style="14" customWidth="1"/>
    <col min="13846" max="13846" width="14.140625" style="14" bestFit="1" customWidth="1"/>
    <col min="13847" max="13847" width="11" style="14" bestFit="1" customWidth="1"/>
    <col min="13848" max="13848" width="11.42578125" style="14" customWidth="1"/>
    <col min="13849" max="13849" width="1.5703125" style="14" customWidth="1"/>
    <col min="13850" max="13850" width="16.5703125" style="14" bestFit="1" customWidth="1"/>
    <col min="13851" max="13851" width="1.5703125" style="14" customWidth="1"/>
    <col min="13852" max="13852" width="9.28515625" style="14" customWidth="1"/>
    <col min="13853" max="13853" width="0.85546875" style="14" customWidth="1"/>
    <col min="13854" max="13854" width="16.5703125" style="14" bestFit="1" customWidth="1"/>
    <col min="13855" max="13863" width="11.7109375" style="14" customWidth="1"/>
    <col min="13864" max="14082" width="17.28515625" style="14"/>
    <col min="14083" max="14083" width="4" style="14" customWidth="1"/>
    <col min="14084" max="14084" width="32.5703125" style="14" customWidth="1"/>
    <col min="14085" max="14085" width="9.42578125" style="14" bestFit="1" customWidth="1"/>
    <col min="14086" max="14086" width="20.85546875" style="14" customWidth="1"/>
    <col min="14087" max="14087" width="18" style="14" customWidth="1"/>
    <col min="14088" max="14088" width="2" style="14" customWidth="1"/>
    <col min="14089" max="14089" width="16.5703125" style="14" bestFit="1" customWidth="1"/>
    <col min="14090" max="14090" width="12.5703125" style="14" bestFit="1" customWidth="1"/>
    <col min="14091" max="14091" width="12.28515625" style="14" customWidth="1"/>
    <col min="14092" max="14092" width="10.28515625" style="14" bestFit="1" customWidth="1"/>
    <col min="14093" max="14093" width="12" style="14" bestFit="1" customWidth="1"/>
    <col min="14094" max="14094" width="16.5703125" style="14" bestFit="1" customWidth="1"/>
    <col min="14095" max="14095" width="13.5703125" style="14" customWidth="1"/>
    <col min="14096" max="14096" width="16.5703125" style="14" bestFit="1" customWidth="1"/>
    <col min="14097" max="14097" width="1.85546875" style="14" customWidth="1"/>
    <col min="14098" max="14098" width="12.5703125" style="14" bestFit="1" customWidth="1"/>
    <col min="14099" max="14099" width="14.140625" style="14" bestFit="1" customWidth="1"/>
    <col min="14100" max="14100" width="12.5703125" style="14" bestFit="1" customWidth="1"/>
    <col min="14101" max="14101" width="9.5703125" style="14" customWidth="1"/>
    <col min="14102" max="14102" width="14.140625" style="14" bestFit="1" customWidth="1"/>
    <col min="14103" max="14103" width="11" style="14" bestFit="1" customWidth="1"/>
    <col min="14104" max="14104" width="11.42578125" style="14" customWidth="1"/>
    <col min="14105" max="14105" width="1.5703125" style="14" customWidth="1"/>
    <col min="14106" max="14106" width="16.5703125" style="14" bestFit="1" customWidth="1"/>
    <col min="14107" max="14107" width="1.5703125" style="14" customWidth="1"/>
    <col min="14108" max="14108" width="9.28515625" style="14" customWidth="1"/>
    <col min="14109" max="14109" width="0.85546875" style="14" customWidth="1"/>
    <col min="14110" max="14110" width="16.5703125" style="14" bestFit="1" customWidth="1"/>
    <col min="14111" max="14119" width="11.7109375" style="14" customWidth="1"/>
    <col min="14120" max="14338" width="17.28515625" style="14"/>
    <col min="14339" max="14339" width="4" style="14" customWidth="1"/>
    <col min="14340" max="14340" width="32.5703125" style="14" customWidth="1"/>
    <col min="14341" max="14341" width="9.42578125" style="14" bestFit="1" customWidth="1"/>
    <col min="14342" max="14342" width="20.85546875" style="14" customWidth="1"/>
    <col min="14343" max="14343" width="18" style="14" customWidth="1"/>
    <col min="14344" max="14344" width="2" style="14" customWidth="1"/>
    <col min="14345" max="14345" width="16.5703125" style="14" bestFit="1" customWidth="1"/>
    <col min="14346" max="14346" width="12.5703125" style="14" bestFit="1" customWidth="1"/>
    <col min="14347" max="14347" width="12.28515625" style="14" customWidth="1"/>
    <col min="14348" max="14348" width="10.28515625" style="14" bestFit="1" customWidth="1"/>
    <col min="14349" max="14349" width="12" style="14" bestFit="1" customWidth="1"/>
    <col min="14350" max="14350" width="16.5703125" style="14" bestFit="1" customWidth="1"/>
    <col min="14351" max="14351" width="13.5703125" style="14" customWidth="1"/>
    <col min="14352" max="14352" width="16.5703125" style="14" bestFit="1" customWidth="1"/>
    <col min="14353" max="14353" width="1.85546875" style="14" customWidth="1"/>
    <col min="14354" max="14354" width="12.5703125" style="14" bestFit="1" customWidth="1"/>
    <col min="14355" max="14355" width="14.140625" style="14" bestFit="1" customWidth="1"/>
    <col min="14356" max="14356" width="12.5703125" style="14" bestFit="1" customWidth="1"/>
    <col min="14357" max="14357" width="9.5703125" style="14" customWidth="1"/>
    <col min="14358" max="14358" width="14.140625" style="14" bestFit="1" customWidth="1"/>
    <col min="14359" max="14359" width="11" style="14" bestFit="1" customWidth="1"/>
    <col min="14360" max="14360" width="11.42578125" style="14" customWidth="1"/>
    <col min="14361" max="14361" width="1.5703125" style="14" customWidth="1"/>
    <col min="14362" max="14362" width="16.5703125" style="14" bestFit="1" customWidth="1"/>
    <col min="14363" max="14363" width="1.5703125" style="14" customWidth="1"/>
    <col min="14364" max="14364" width="9.28515625" style="14" customWidth="1"/>
    <col min="14365" max="14365" width="0.85546875" style="14" customWidth="1"/>
    <col min="14366" max="14366" width="16.5703125" style="14" bestFit="1" customWidth="1"/>
    <col min="14367" max="14375" width="11.7109375" style="14" customWidth="1"/>
    <col min="14376" max="14594" width="17.28515625" style="14"/>
    <col min="14595" max="14595" width="4" style="14" customWidth="1"/>
    <col min="14596" max="14596" width="32.5703125" style="14" customWidth="1"/>
    <col min="14597" max="14597" width="9.42578125" style="14" bestFit="1" customWidth="1"/>
    <col min="14598" max="14598" width="20.85546875" style="14" customWidth="1"/>
    <col min="14599" max="14599" width="18" style="14" customWidth="1"/>
    <col min="14600" max="14600" width="2" style="14" customWidth="1"/>
    <col min="14601" max="14601" width="16.5703125" style="14" bestFit="1" customWidth="1"/>
    <col min="14602" max="14602" width="12.5703125" style="14" bestFit="1" customWidth="1"/>
    <col min="14603" max="14603" width="12.28515625" style="14" customWidth="1"/>
    <col min="14604" max="14604" width="10.28515625" style="14" bestFit="1" customWidth="1"/>
    <col min="14605" max="14605" width="12" style="14" bestFit="1" customWidth="1"/>
    <col min="14606" max="14606" width="16.5703125" style="14" bestFit="1" customWidth="1"/>
    <col min="14607" max="14607" width="13.5703125" style="14" customWidth="1"/>
    <col min="14608" max="14608" width="16.5703125" style="14" bestFit="1" customWidth="1"/>
    <col min="14609" max="14609" width="1.85546875" style="14" customWidth="1"/>
    <col min="14610" max="14610" width="12.5703125" style="14" bestFit="1" customWidth="1"/>
    <col min="14611" max="14611" width="14.140625" style="14" bestFit="1" customWidth="1"/>
    <col min="14612" max="14612" width="12.5703125" style="14" bestFit="1" customWidth="1"/>
    <col min="14613" max="14613" width="9.5703125" style="14" customWidth="1"/>
    <col min="14614" max="14614" width="14.140625" style="14" bestFit="1" customWidth="1"/>
    <col min="14615" max="14615" width="11" style="14" bestFit="1" customWidth="1"/>
    <col min="14616" max="14616" width="11.42578125" style="14" customWidth="1"/>
    <col min="14617" max="14617" width="1.5703125" style="14" customWidth="1"/>
    <col min="14618" max="14618" width="16.5703125" style="14" bestFit="1" customWidth="1"/>
    <col min="14619" max="14619" width="1.5703125" style="14" customWidth="1"/>
    <col min="14620" max="14620" width="9.28515625" style="14" customWidth="1"/>
    <col min="14621" max="14621" width="0.85546875" style="14" customWidth="1"/>
    <col min="14622" max="14622" width="16.5703125" style="14" bestFit="1" customWidth="1"/>
    <col min="14623" max="14631" width="11.7109375" style="14" customWidth="1"/>
    <col min="14632" max="14850" width="17.28515625" style="14"/>
    <col min="14851" max="14851" width="4" style="14" customWidth="1"/>
    <col min="14852" max="14852" width="32.5703125" style="14" customWidth="1"/>
    <col min="14853" max="14853" width="9.42578125" style="14" bestFit="1" customWidth="1"/>
    <col min="14854" max="14854" width="20.85546875" style="14" customWidth="1"/>
    <col min="14855" max="14855" width="18" style="14" customWidth="1"/>
    <col min="14856" max="14856" width="2" style="14" customWidth="1"/>
    <col min="14857" max="14857" width="16.5703125" style="14" bestFit="1" customWidth="1"/>
    <col min="14858" max="14858" width="12.5703125" style="14" bestFit="1" customWidth="1"/>
    <col min="14859" max="14859" width="12.28515625" style="14" customWidth="1"/>
    <col min="14860" max="14860" width="10.28515625" style="14" bestFit="1" customWidth="1"/>
    <col min="14861" max="14861" width="12" style="14" bestFit="1" customWidth="1"/>
    <col min="14862" max="14862" width="16.5703125" style="14" bestFit="1" customWidth="1"/>
    <col min="14863" max="14863" width="13.5703125" style="14" customWidth="1"/>
    <col min="14864" max="14864" width="16.5703125" style="14" bestFit="1" customWidth="1"/>
    <col min="14865" max="14865" width="1.85546875" style="14" customWidth="1"/>
    <col min="14866" max="14866" width="12.5703125" style="14" bestFit="1" customWidth="1"/>
    <col min="14867" max="14867" width="14.140625" style="14" bestFit="1" customWidth="1"/>
    <col min="14868" max="14868" width="12.5703125" style="14" bestFit="1" customWidth="1"/>
    <col min="14869" max="14869" width="9.5703125" style="14" customWidth="1"/>
    <col min="14870" max="14870" width="14.140625" style="14" bestFit="1" customWidth="1"/>
    <col min="14871" max="14871" width="11" style="14" bestFit="1" customWidth="1"/>
    <col min="14872" max="14872" width="11.42578125" style="14" customWidth="1"/>
    <col min="14873" max="14873" width="1.5703125" style="14" customWidth="1"/>
    <col min="14874" max="14874" width="16.5703125" style="14" bestFit="1" customWidth="1"/>
    <col min="14875" max="14875" width="1.5703125" style="14" customWidth="1"/>
    <col min="14876" max="14876" width="9.28515625" style="14" customWidth="1"/>
    <col min="14877" max="14877" width="0.85546875" style="14" customWidth="1"/>
    <col min="14878" max="14878" width="16.5703125" style="14" bestFit="1" customWidth="1"/>
    <col min="14879" max="14887" width="11.7109375" style="14" customWidth="1"/>
    <col min="14888" max="15106" width="17.28515625" style="14"/>
    <col min="15107" max="15107" width="4" style="14" customWidth="1"/>
    <col min="15108" max="15108" width="32.5703125" style="14" customWidth="1"/>
    <col min="15109" max="15109" width="9.42578125" style="14" bestFit="1" customWidth="1"/>
    <col min="15110" max="15110" width="20.85546875" style="14" customWidth="1"/>
    <col min="15111" max="15111" width="18" style="14" customWidth="1"/>
    <col min="15112" max="15112" width="2" style="14" customWidth="1"/>
    <col min="15113" max="15113" width="16.5703125" style="14" bestFit="1" customWidth="1"/>
    <col min="15114" max="15114" width="12.5703125" style="14" bestFit="1" customWidth="1"/>
    <col min="15115" max="15115" width="12.28515625" style="14" customWidth="1"/>
    <col min="15116" max="15116" width="10.28515625" style="14" bestFit="1" customWidth="1"/>
    <col min="15117" max="15117" width="12" style="14" bestFit="1" customWidth="1"/>
    <col min="15118" max="15118" width="16.5703125" style="14" bestFit="1" customWidth="1"/>
    <col min="15119" max="15119" width="13.5703125" style="14" customWidth="1"/>
    <col min="15120" max="15120" width="16.5703125" style="14" bestFit="1" customWidth="1"/>
    <col min="15121" max="15121" width="1.85546875" style="14" customWidth="1"/>
    <col min="15122" max="15122" width="12.5703125" style="14" bestFit="1" customWidth="1"/>
    <col min="15123" max="15123" width="14.140625" style="14" bestFit="1" customWidth="1"/>
    <col min="15124" max="15124" width="12.5703125" style="14" bestFit="1" customWidth="1"/>
    <col min="15125" max="15125" width="9.5703125" style="14" customWidth="1"/>
    <col min="15126" max="15126" width="14.140625" style="14" bestFit="1" customWidth="1"/>
    <col min="15127" max="15127" width="11" style="14" bestFit="1" customWidth="1"/>
    <col min="15128" max="15128" width="11.42578125" style="14" customWidth="1"/>
    <col min="15129" max="15129" width="1.5703125" style="14" customWidth="1"/>
    <col min="15130" max="15130" width="16.5703125" style="14" bestFit="1" customWidth="1"/>
    <col min="15131" max="15131" width="1.5703125" style="14" customWidth="1"/>
    <col min="15132" max="15132" width="9.28515625" style="14" customWidth="1"/>
    <col min="15133" max="15133" width="0.85546875" style="14" customWidth="1"/>
    <col min="15134" max="15134" width="16.5703125" style="14" bestFit="1" customWidth="1"/>
    <col min="15135" max="15143" width="11.7109375" style="14" customWidth="1"/>
    <col min="15144" max="15362" width="17.28515625" style="14"/>
    <col min="15363" max="15363" width="4" style="14" customWidth="1"/>
    <col min="15364" max="15364" width="32.5703125" style="14" customWidth="1"/>
    <col min="15365" max="15365" width="9.42578125" style="14" bestFit="1" customWidth="1"/>
    <col min="15366" max="15366" width="20.85546875" style="14" customWidth="1"/>
    <col min="15367" max="15367" width="18" style="14" customWidth="1"/>
    <col min="15368" max="15368" width="2" style="14" customWidth="1"/>
    <col min="15369" max="15369" width="16.5703125" style="14" bestFit="1" customWidth="1"/>
    <col min="15370" max="15370" width="12.5703125" style="14" bestFit="1" customWidth="1"/>
    <col min="15371" max="15371" width="12.28515625" style="14" customWidth="1"/>
    <col min="15372" max="15372" width="10.28515625" style="14" bestFit="1" customWidth="1"/>
    <col min="15373" max="15373" width="12" style="14" bestFit="1" customWidth="1"/>
    <col min="15374" max="15374" width="16.5703125" style="14" bestFit="1" customWidth="1"/>
    <col min="15375" max="15375" width="13.5703125" style="14" customWidth="1"/>
    <col min="15376" max="15376" width="16.5703125" style="14" bestFit="1" customWidth="1"/>
    <col min="15377" max="15377" width="1.85546875" style="14" customWidth="1"/>
    <col min="15378" max="15378" width="12.5703125" style="14" bestFit="1" customWidth="1"/>
    <col min="15379" max="15379" width="14.140625" style="14" bestFit="1" customWidth="1"/>
    <col min="15380" max="15380" width="12.5703125" style="14" bestFit="1" customWidth="1"/>
    <col min="15381" max="15381" width="9.5703125" style="14" customWidth="1"/>
    <col min="15382" max="15382" width="14.140625" style="14" bestFit="1" customWidth="1"/>
    <col min="15383" max="15383" width="11" style="14" bestFit="1" customWidth="1"/>
    <col min="15384" max="15384" width="11.42578125" style="14" customWidth="1"/>
    <col min="15385" max="15385" width="1.5703125" style="14" customWidth="1"/>
    <col min="15386" max="15386" width="16.5703125" style="14" bestFit="1" customWidth="1"/>
    <col min="15387" max="15387" width="1.5703125" style="14" customWidth="1"/>
    <col min="15388" max="15388" width="9.28515625" style="14" customWidth="1"/>
    <col min="15389" max="15389" width="0.85546875" style="14" customWidth="1"/>
    <col min="15390" max="15390" width="16.5703125" style="14" bestFit="1" customWidth="1"/>
    <col min="15391" max="15399" width="11.7109375" style="14" customWidth="1"/>
    <col min="15400" max="15618" width="17.28515625" style="14"/>
    <col min="15619" max="15619" width="4" style="14" customWidth="1"/>
    <col min="15620" max="15620" width="32.5703125" style="14" customWidth="1"/>
    <col min="15621" max="15621" width="9.42578125" style="14" bestFit="1" customWidth="1"/>
    <col min="15622" max="15622" width="20.85546875" style="14" customWidth="1"/>
    <col min="15623" max="15623" width="18" style="14" customWidth="1"/>
    <col min="15624" max="15624" width="2" style="14" customWidth="1"/>
    <col min="15625" max="15625" width="16.5703125" style="14" bestFit="1" customWidth="1"/>
    <col min="15626" max="15626" width="12.5703125" style="14" bestFit="1" customWidth="1"/>
    <col min="15627" max="15627" width="12.28515625" style="14" customWidth="1"/>
    <col min="15628" max="15628" width="10.28515625" style="14" bestFit="1" customWidth="1"/>
    <col min="15629" max="15629" width="12" style="14" bestFit="1" customWidth="1"/>
    <col min="15630" max="15630" width="16.5703125" style="14" bestFit="1" customWidth="1"/>
    <col min="15631" max="15631" width="13.5703125" style="14" customWidth="1"/>
    <col min="15632" max="15632" width="16.5703125" style="14" bestFit="1" customWidth="1"/>
    <col min="15633" max="15633" width="1.85546875" style="14" customWidth="1"/>
    <col min="15634" max="15634" width="12.5703125" style="14" bestFit="1" customWidth="1"/>
    <col min="15635" max="15635" width="14.140625" style="14" bestFit="1" customWidth="1"/>
    <col min="15636" max="15636" width="12.5703125" style="14" bestFit="1" customWidth="1"/>
    <col min="15637" max="15637" width="9.5703125" style="14" customWidth="1"/>
    <col min="15638" max="15638" width="14.140625" style="14" bestFit="1" customWidth="1"/>
    <col min="15639" max="15639" width="11" style="14" bestFit="1" customWidth="1"/>
    <col min="15640" max="15640" width="11.42578125" style="14" customWidth="1"/>
    <col min="15641" max="15641" width="1.5703125" style="14" customWidth="1"/>
    <col min="15642" max="15642" width="16.5703125" style="14" bestFit="1" customWidth="1"/>
    <col min="15643" max="15643" width="1.5703125" style="14" customWidth="1"/>
    <col min="15644" max="15644" width="9.28515625" style="14" customWidth="1"/>
    <col min="15645" max="15645" width="0.85546875" style="14" customWidth="1"/>
    <col min="15646" max="15646" width="16.5703125" style="14" bestFit="1" customWidth="1"/>
    <col min="15647" max="15655" width="11.7109375" style="14" customWidth="1"/>
    <col min="15656" max="15874" width="17.28515625" style="14"/>
    <col min="15875" max="15875" width="4" style="14" customWidth="1"/>
    <col min="15876" max="15876" width="32.5703125" style="14" customWidth="1"/>
    <col min="15877" max="15877" width="9.42578125" style="14" bestFit="1" customWidth="1"/>
    <col min="15878" max="15878" width="20.85546875" style="14" customWidth="1"/>
    <col min="15879" max="15879" width="18" style="14" customWidth="1"/>
    <col min="15880" max="15880" width="2" style="14" customWidth="1"/>
    <col min="15881" max="15881" width="16.5703125" style="14" bestFit="1" customWidth="1"/>
    <col min="15882" max="15882" width="12.5703125" style="14" bestFit="1" customWidth="1"/>
    <col min="15883" max="15883" width="12.28515625" style="14" customWidth="1"/>
    <col min="15884" max="15884" width="10.28515625" style="14" bestFit="1" customWidth="1"/>
    <col min="15885" max="15885" width="12" style="14" bestFit="1" customWidth="1"/>
    <col min="15886" max="15886" width="16.5703125" style="14" bestFit="1" customWidth="1"/>
    <col min="15887" max="15887" width="13.5703125" style="14" customWidth="1"/>
    <col min="15888" max="15888" width="16.5703125" style="14" bestFit="1" customWidth="1"/>
    <col min="15889" max="15889" width="1.85546875" style="14" customWidth="1"/>
    <col min="15890" max="15890" width="12.5703125" style="14" bestFit="1" customWidth="1"/>
    <col min="15891" max="15891" width="14.140625" style="14" bestFit="1" customWidth="1"/>
    <col min="15892" max="15892" width="12.5703125" style="14" bestFit="1" customWidth="1"/>
    <col min="15893" max="15893" width="9.5703125" style="14" customWidth="1"/>
    <col min="15894" max="15894" width="14.140625" style="14" bestFit="1" customWidth="1"/>
    <col min="15895" max="15895" width="11" style="14" bestFit="1" customWidth="1"/>
    <col min="15896" max="15896" width="11.42578125" style="14" customWidth="1"/>
    <col min="15897" max="15897" width="1.5703125" style="14" customWidth="1"/>
    <col min="15898" max="15898" width="16.5703125" style="14" bestFit="1" customWidth="1"/>
    <col min="15899" max="15899" width="1.5703125" style="14" customWidth="1"/>
    <col min="15900" max="15900" width="9.28515625" style="14" customWidth="1"/>
    <col min="15901" max="15901" width="0.85546875" style="14" customWidth="1"/>
    <col min="15902" max="15902" width="16.5703125" style="14" bestFit="1" customWidth="1"/>
    <col min="15903" max="15911" width="11.7109375" style="14" customWidth="1"/>
    <col min="15912" max="16130" width="17.28515625" style="14"/>
    <col min="16131" max="16131" width="4" style="14" customWidth="1"/>
    <col min="16132" max="16132" width="32.5703125" style="14" customWidth="1"/>
    <col min="16133" max="16133" width="9.42578125" style="14" bestFit="1" customWidth="1"/>
    <col min="16134" max="16134" width="20.85546875" style="14" customWidth="1"/>
    <col min="16135" max="16135" width="18" style="14" customWidth="1"/>
    <col min="16136" max="16136" width="2" style="14" customWidth="1"/>
    <col min="16137" max="16137" width="16.5703125" style="14" bestFit="1" customWidth="1"/>
    <col min="16138" max="16138" width="12.5703125" style="14" bestFit="1" customWidth="1"/>
    <col min="16139" max="16139" width="12.28515625" style="14" customWidth="1"/>
    <col min="16140" max="16140" width="10.28515625" style="14" bestFit="1" customWidth="1"/>
    <col min="16141" max="16141" width="12" style="14" bestFit="1" customWidth="1"/>
    <col min="16142" max="16142" width="16.5703125" style="14" bestFit="1" customWidth="1"/>
    <col min="16143" max="16143" width="13.5703125" style="14" customWidth="1"/>
    <col min="16144" max="16144" width="16.5703125" style="14" bestFit="1" customWidth="1"/>
    <col min="16145" max="16145" width="1.85546875" style="14" customWidth="1"/>
    <col min="16146" max="16146" width="12.5703125" style="14" bestFit="1" customWidth="1"/>
    <col min="16147" max="16147" width="14.140625" style="14" bestFit="1" customWidth="1"/>
    <col min="16148" max="16148" width="12.5703125" style="14" bestFit="1" customWidth="1"/>
    <col min="16149" max="16149" width="9.5703125" style="14" customWidth="1"/>
    <col min="16150" max="16150" width="14.140625" style="14" bestFit="1" customWidth="1"/>
    <col min="16151" max="16151" width="11" style="14" bestFit="1" customWidth="1"/>
    <col min="16152" max="16152" width="11.42578125" style="14" customWidth="1"/>
    <col min="16153" max="16153" width="1.5703125" style="14" customWidth="1"/>
    <col min="16154" max="16154" width="16.5703125" style="14" bestFit="1" customWidth="1"/>
    <col min="16155" max="16155" width="1.5703125" style="14" customWidth="1"/>
    <col min="16156" max="16156" width="9.28515625" style="14" customWidth="1"/>
    <col min="16157" max="16157" width="0.85546875" style="14" customWidth="1"/>
    <col min="16158" max="16158" width="16.5703125" style="14" bestFit="1" customWidth="1"/>
    <col min="16159" max="16167" width="11.7109375" style="14" customWidth="1"/>
    <col min="16168" max="16384" width="17.28515625" style="14"/>
  </cols>
  <sheetData>
    <row r="1" spans="1:39" s="3" customFormat="1" ht="104.25" customHeight="1" x14ac:dyDescent="0.25">
      <c r="A1" s="1"/>
      <c r="B1" s="1"/>
      <c r="C1" s="2"/>
      <c r="D1" s="2"/>
      <c r="E1" s="1"/>
      <c r="F1" s="1"/>
      <c r="G1" s="1"/>
      <c r="H1" s="1"/>
      <c r="I1" s="153"/>
      <c r="J1" s="154"/>
      <c r="K1" s="154"/>
      <c r="L1" s="154"/>
      <c r="M1" s="154"/>
      <c r="N1" s="154"/>
      <c r="O1" s="154"/>
      <c r="P1" s="154"/>
      <c r="Q1" s="1"/>
      <c r="R1" s="1"/>
      <c r="S1" s="1"/>
      <c r="T1" s="1"/>
      <c r="U1" s="1"/>
      <c r="V1" s="1"/>
      <c r="W1" s="1"/>
      <c r="X1" s="1"/>
      <c r="Y1" s="1"/>
      <c r="Z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s="3" customFormat="1" ht="18" x14ac:dyDescent="0.25">
      <c r="A2" s="1"/>
      <c r="B2" s="1"/>
      <c r="C2" s="2"/>
      <c r="D2" s="2"/>
      <c r="E2" s="1"/>
      <c r="F2" s="1"/>
      <c r="G2" s="1"/>
      <c r="H2" s="1"/>
      <c r="I2" s="4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s="9" customFormat="1" ht="20.25" customHeight="1" x14ac:dyDescent="0.25">
      <c r="A3" s="5"/>
      <c r="B3" s="111" t="s">
        <v>63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7"/>
      <c r="O3" s="7"/>
      <c r="P3" s="8"/>
      <c r="Q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ht="18.75" x14ac:dyDescent="0.25">
      <c r="A4" s="10"/>
      <c r="B4" s="11" t="s">
        <v>1</v>
      </c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39" ht="18.75" x14ac:dyDescent="0.25">
      <c r="A5" s="10"/>
      <c r="B5" s="15"/>
      <c r="C5" s="16"/>
      <c r="D5" s="1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7"/>
      <c r="AC5" s="17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1:39" ht="26.25" customHeight="1" x14ac:dyDescent="0.25">
      <c r="A6" s="10"/>
      <c r="B6" s="18" t="s">
        <v>132</v>
      </c>
      <c r="C6" s="16"/>
      <c r="D6" s="16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1:39" ht="15.75" customHeight="1" x14ac:dyDescent="0.25">
      <c r="A7" s="10"/>
      <c r="B7" s="18"/>
      <c r="C7" s="16"/>
      <c r="D7" s="1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9" ht="18" x14ac:dyDescent="0.25">
      <c r="A8" s="19" t="s">
        <v>3</v>
      </c>
      <c r="B8" s="137" t="s">
        <v>4</v>
      </c>
      <c r="C8" s="138"/>
      <c r="D8" s="138"/>
      <c r="E8" s="139"/>
      <c r="F8" s="10"/>
      <c r="G8" s="137" t="s">
        <v>5</v>
      </c>
      <c r="H8" s="155"/>
      <c r="I8" s="138"/>
      <c r="J8" s="138"/>
      <c r="K8" s="138"/>
      <c r="L8" s="138"/>
      <c r="M8" s="138"/>
      <c r="N8" s="138"/>
      <c r="O8" s="138"/>
      <c r="P8" s="139"/>
      <c r="Q8" s="10"/>
      <c r="R8" s="137" t="s">
        <v>6</v>
      </c>
      <c r="S8" s="138"/>
      <c r="T8" s="138"/>
      <c r="U8" s="138"/>
      <c r="V8" s="138"/>
      <c r="W8" s="138"/>
      <c r="X8" s="139"/>
      <c r="Y8" s="10"/>
      <c r="AA8" s="10"/>
      <c r="AB8" s="10"/>
      <c r="AC8" s="10"/>
      <c r="AD8" s="10"/>
      <c r="AE8" s="10"/>
    </row>
    <row r="9" spans="1:39" ht="18" hidden="1" x14ac:dyDescent="0.25">
      <c r="A9" s="16"/>
      <c r="B9" s="20"/>
      <c r="C9" s="21"/>
      <c r="D9" s="21"/>
      <c r="E9" s="22"/>
      <c r="F9" s="16"/>
      <c r="G9" s="20"/>
      <c r="H9" s="21"/>
      <c r="I9" s="21"/>
      <c r="J9" s="23">
        <v>1.25</v>
      </c>
      <c r="K9" s="23">
        <v>1.35</v>
      </c>
      <c r="L9" s="23">
        <f>((850*0.35)/30/8)</f>
        <v>1.2395833333333333</v>
      </c>
      <c r="M9" s="21"/>
      <c r="N9" s="21"/>
      <c r="O9" s="21"/>
      <c r="P9" s="22"/>
      <c r="Q9" s="16"/>
      <c r="R9" s="24">
        <f>1/12</f>
        <v>8.3333333333333329E-2</v>
      </c>
      <c r="S9" s="25">
        <v>0.16670000000000001</v>
      </c>
      <c r="T9" s="25">
        <v>9.7199999999999995E-2</v>
      </c>
      <c r="U9" s="25">
        <f>1/30*18/12</f>
        <v>4.9999999999999996E-2</v>
      </c>
      <c r="V9" s="25">
        <v>0.09</v>
      </c>
      <c r="W9" s="21">
        <v>3.96E-3</v>
      </c>
      <c r="X9" s="22">
        <f>+(0.78%+0.87%)</f>
        <v>1.6500000000000001E-2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ht="90" x14ac:dyDescent="0.25">
      <c r="A10" s="26"/>
      <c r="B10" s="27" t="s">
        <v>7</v>
      </c>
      <c r="C10" s="140" t="s">
        <v>8</v>
      </c>
      <c r="D10" s="141"/>
      <c r="E10" s="28" t="s">
        <v>9</v>
      </c>
      <c r="F10" s="29"/>
      <c r="G10" s="30" t="s">
        <v>10</v>
      </c>
      <c r="H10" s="30" t="s">
        <v>64</v>
      </c>
      <c r="I10" s="30" t="s">
        <v>11</v>
      </c>
      <c r="J10" s="31" t="s">
        <v>12</v>
      </c>
      <c r="K10" s="31" t="s">
        <v>13</v>
      </c>
      <c r="L10" s="30" t="s">
        <v>14</v>
      </c>
      <c r="M10" s="30" t="s">
        <v>15</v>
      </c>
      <c r="N10" s="30" t="s">
        <v>16</v>
      </c>
      <c r="O10" s="30" t="s">
        <v>131</v>
      </c>
      <c r="P10" s="30" t="s">
        <v>17</v>
      </c>
      <c r="Q10" s="32"/>
      <c r="R10" s="30" t="s">
        <v>18</v>
      </c>
      <c r="S10" s="30" t="s">
        <v>19</v>
      </c>
      <c r="T10" s="30" t="s">
        <v>20</v>
      </c>
      <c r="U10" s="30" t="s">
        <v>21</v>
      </c>
      <c r="V10" s="30" t="s">
        <v>22</v>
      </c>
      <c r="W10" s="30" t="s">
        <v>23</v>
      </c>
      <c r="X10" s="30" t="s">
        <v>24</v>
      </c>
      <c r="Y10" s="32"/>
      <c r="Z10" s="33" t="s">
        <v>25</v>
      </c>
      <c r="AA10" s="10"/>
      <c r="AB10" s="34" t="s">
        <v>26</v>
      </c>
      <c r="AC10" s="10"/>
      <c r="AD10" s="35" t="s">
        <v>27</v>
      </c>
      <c r="AE10" s="10"/>
    </row>
    <row r="11" spans="1:39" s="3" customFormat="1" ht="18" x14ac:dyDescent="0.25">
      <c r="A11" s="26"/>
      <c r="B11" s="135" t="s">
        <v>65</v>
      </c>
      <c r="C11" s="37">
        <v>1</v>
      </c>
      <c r="D11" s="36" t="s">
        <v>66</v>
      </c>
      <c r="E11" s="39" t="s">
        <v>67</v>
      </c>
      <c r="F11" s="26"/>
      <c r="G11" s="77">
        <v>2500</v>
      </c>
      <c r="H11" s="39">
        <v>30</v>
      </c>
      <c r="I11" s="77">
        <v>113</v>
      </c>
      <c r="J11" s="77">
        <v>0</v>
      </c>
      <c r="K11" s="77">
        <v>0</v>
      </c>
      <c r="L11" s="77">
        <f>((((G11*1.35)/30)/8)*30*0)-(G11*0)</f>
        <v>0</v>
      </c>
      <c r="M11" s="77">
        <f>+G11+I11+J11+K11+L11</f>
        <v>2613</v>
      </c>
      <c r="N11" s="77">
        <v>0</v>
      </c>
      <c r="O11" s="77">
        <v>0</v>
      </c>
      <c r="P11" s="77">
        <f>+N11+I11+J11+K11+G11+L11+O11</f>
        <v>2613</v>
      </c>
      <c r="Q11" s="115"/>
      <c r="R11" s="77">
        <f>M11*$R$9</f>
        <v>217.75</v>
      </c>
      <c r="S11" s="77">
        <f>(M11*1.09)*$S$9</f>
        <v>474.78993900000006</v>
      </c>
      <c r="T11" s="77">
        <f>M11*$T$9</f>
        <v>253.9836</v>
      </c>
      <c r="U11" s="77">
        <v>0</v>
      </c>
      <c r="V11" s="77">
        <f>(2800+I11+S11+U11)*$V$9</f>
        <v>304.90109451000001</v>
      </c>
      <c r="W11" s="77">
        <f>(M11+R11)*$W$9</f>
        <v>11.209770000000001</v>
      </c>
      <c r="X11" s="77">
        <f>(2800+S11)*$X$9</f>
        <v>54.034033993500003</v>
      </c>
      <c r="Y11" s="131"/>
      <c r="Z11" s="132">
        <f>P11+R11+S11+T11+U11+V11+W11+X11</f>
        <v>3929.6684375035002</v>
      </c>
      <c r="AA11" s="26"/>
      <c r="AB11" s="133">
        <v>1</v>
      </c>
      <c r="AC11" s="26"/>
      <c r="AD11" s="77">
        <f>Z11*AB11</f>
        <v>3929.6684375035002</v>
      </c>
      <c r="AE11" s="26"/>
    </row>
    <row r="12" spans="1:39" s="3" customFormat="1" ht="18" x14ac:dyDescent="0.25">
      <c r="A12" s="26"/>
      <c r="B12" s="135" t="s">
        <v>68</v>
      </c>
      <c r="C12" s="37">
        <v>1</v>
      </c>
      <c r="D12" s="36" t="s">
        <v>66</v>
      </c>
      <c r="E12" s="39" t="s">
        <v>67</v>
      </c>
      <c r="F12" s="26"/>
      <c r="G12" s="77">
        <v>2500</v>
      </c>
      <c r="H12" s="39">
        <v>30</v>
      </c>
      <c r="I12" s="77">
        <v>113</v>
      </c>
      <c r="J12" s="77">
        <v>0</v>
      </c>
      <c r="K12" s="77">
        <v>0</v>
      </c>
      <c r="L12" s="77">
        <f>((((G12*1.35)/30)/8)*30*0)-(G12*0)</f>
        <v>0</v>
      </c>
      <c r="M12" s="77">
        <f>+G12+I12+J12+K12+L12</f>
        <v>2613</v>
      </c>
      <c r="N12" s="77">
        <v>0</v>
      </c>
      <c r="O12" s="77">
        <v>0</v>
      </c>
      <c r="P12" s="77">
        <f>+N12+I12+J12+K12+G12+L12+O12</f>
        <v>2613</v>
      </c>
      <c r="Q12" s="115"/>
      <c r="R12" s="77">
        <f>M12*$R$9</f>
        <v>217.75</v>
      </c>
      <c r="S12" s="77">
        <f>(M12*1.09)*$S$9</f>
        <v>474.78993900000006</v>
      </c>
      <c r="T12" s="77">
        <f>M12*$T$9</f>
        <v>253.9836</v>
      </c>
      <c r="U12" s="77">
        <v>0</v>
      </c>
      <c r="V12" s="77">
        <f>(2800+I12+S12+U12)*$V$9</f>
        <v>304.90109451000001</v>
      </c>
      <c r="W12" s="77">
        <f>(M12+R12)*$W$9</f>
        <v>11.209770000000001</v>
      </c>
      <c r="X12" s="77">
        <f>(2800+S12)*$X$9</f>
        <v>54.034033993500003</v>
      </c>
      <c r="Y12" s="131"/>
      <c r="Z12" s="132">
        <f>P12+R12+S12+T12+U12+V12+W12+X12</f>
        <v>3929.6684375035002</v>
      </c>
      <c r="AA12" s="26"/>
      <c r="AB12" s="133">
        <v>1</v>
      </c>
      <c r="AC12" s="26"/>
      <c r="AD12" s="77">
        <f>Z12*AB12</f>
        <v>3929.6684375035002</v>
      </c>
      <c r="AE12" s="26"/>
    </row>
    <row r="13" spans="1:39" s="3" customFormat="1" ht="18.75" customHeight="1" x14ac:dyDescent="0.25">
      <c r="A13" s="26"/>
      <c r="B13" s="135" t="s">
        <v>69</v>
      </c>
      <c r="C13" s="37">
        <v>1</v>
      </c>
      <c r="D13" s="36" t="s">
        <v>70</v>
      </c>
      <c r="E13" s="39" t="s">
        <v>67</v>
      </c>
      <c r="F13" s="26"/>
      <c r="G13" s="77">
        <f t="shared" ref="G13:G15" si="0">1130/30*H13</f>
        <v>1130</v>
      </c>
      <c r="H13" s="39">
        <v>30</v>
      </c>
      <c r="I13" s="77">
        <v>113</v>
      </c>
      <c r="J13" s="77">
        <v>0</v>
      </c>
      <c r="K13" s="77">
        <v>0</v>
      </c>
      <c r="L13" s="77">
        <v>0</v>
      </c>
      <c r="M13" s="77">
        <f t="shared" ref="M13" si="1">+G13+I13+J13+K13+L13</f>
        <v>1243</v>
      </c>
      <c r="N13" s="77">
        <v>100</v>
      </c>
      <c r="O13" s="77">
        <v>0</v>
      </c>
      <c r="P13" s="77">
        <f>+N13+I13+J13+K13+G13+L13+O13</f>
        <v>1343</v>
      </c>
      <c r="Q13" s="115"/>
      <c r="R13" s="77">
        <f>M13*$R$9</f>
        <v>103.58333333333333</v>
      </c>
      <c r="S13" s="77">
        <f>(M13*1.09)*$S$9</f>
        <v>225.85682900000003</v>
      </c>
      <c r="T13" s="77">
        <f>M13*$T$9</f>
        <v>120.81959999999999</v>
      </c>
      <c r="U13" s="77">
        <v>0</v>
      </c>
      <c r="V13" s="77">
        <f>(1130+I13+S13+U13)*$V$9</f>
        <v>132.19711461</v>
      </c>
      <c r="W13" s="77">
        <f>(M13+R13)*$W$9</f>
        <v>5.3324699999999998</v>
      </c>
      <c r="X13" s="77">
        <f t="shared" ref="X13:X15" si="2">(1130+S13)*$X$9</f>
        <v>22.371637678500001</v>
      </c>
      <c r="Y13" s="131"/>
      <c r="Z13" s="132">
        <f t="shared" ref="Z13" si="3">P13+R13+S13+T13+U13+V13+W13+X13</f>
        <v>1953.1609846218334</v>
      </c>
      <c r="AA13" s="26"/>
      <c r="AB13" s="133">
        <v>1</v>
      </c>
      <c r="AC13" s="26"/>
      <c r="AD13" s="77">
        <f t="shared" ref="AD13" si="4">Z13*AB13</f>
        <v>1953.1609846218334</v>
      </c>
      <c r="AE13" s="26"/>
    </row>
    <row r="14" spans="1:39" s="3" customFormat="1" ht="18" x14ac:dyDescent="0.25">
      <c r="A14" s="26"/>
      <c r="B14" s="135" t="s">
        <v>71</v>
      </c>
      <c r="C14" s="37">
        <v>1</v>
      </c>
      <c r="D14" s="36" t="s">
        <v>70</v>
      </c>
      <c r="E14" s="39" t="s">
        <v>67</v>
      </c>
      <c r="F14" s="26"/>
      <c r="G14" s="77">
        <f t="shared" si="0"/>
        <v>1130</v>
      </c>
      <c r="H14" s="39">
        <v>30</v>
      </c>
      <c r="I14" s="77">
        <v>113</v>
      </c>
      <c r="J14" s="77">
        <v>0</v>
      </c>
      <c r="K14" s="77">
        <v>0</v>
      </c>
      <c r="L14" s="77">
        <v>0</v>
      </c>
      <c r="M14" s="77">
        <f t="shared" ref="M14" si="5">+G14+I14+J14+K14+L14</f>
        <v>1243</v>
      </c>
      <c r="N14" s="77">
        <v>100</v>
      </c>
      <c r="O14" s="77">
        <v>0</v>
      </c>
      <c r="P14" s="77">
        <f>+N14+I14+J14+K14+G14+L14+O14</f>
        <v>1343</v>
      </c>
      <c r="Q14" s="115"/>
      <c r="R14" s="77">
        <f>M14*$R$9</f>
        <v>103.58333333333333</v>
      </c>
      <c r="S14" s="77">
        <f>(M14*1.09)*$S$9</f>
        <v>225.85682900000003</v>
      </c>
      <c r="T14" s="77">
        <f>M14*$T$9</f>
        <v>120.81959999999999</v>
      </c>
      <c r="U14" s="77">
        <v>0</v>
      </c>
      <c r="V14" s="77">
        <f>(1130+I14+S14+U14)*$V$9</f>
        <v>132.19711461</v>
      </c>
      <c r="W14" s="77">
        <f>(M14+R14)*$W$9</f>
        <v>5.3324699999999998</v>
      </c>
      <c r="X14" s="77">
        <f t="shared" si="2"/>
        <v>22.371637678500001</v>
      </c>
      <c r="Y14" s="131"/>
      <c r="Z14" s="132">
        <f t="shared" ref="Z14" si="6">P14+R14+S14+T14+U14+V14+W14+X14</f>
        <v>1953.1609846218334</v>
      </c>
      <c r="AA14" s="26"/>
      <c r="AB14" s="133">
        <v>1</v>
      </c>
      <c r="AC14" s="26"/>
      <c r="AD14" s="77">
        <f t="shared" ref="AD14" si="7">Z14*AB14</f>
        <v>1953.1609846218334</v>
      </c>
      <c r="AE14" s="26"/>
    </row>
    <row r="15" spans="1:39" s="3" customFormat="1" ht="18" x14ac:dyDescent="0.25">
      <c r="A15" s="26"/>
      <c r="B15" s="135" t="s">
        <v>72</v>
      </c>
      <c r="C15" s="37">
        <v>1</v>
      </c>
      <c r="D15" s="36" t="s">
        <v>70</v>
      </c>
      <c r="E15" s="39" t="s">
        <v>67</v>
      </c>
      <c r="F15" s="26"/>
      <c r="G15" s="77">
        <f t="shared" si="0"/>
        <v>1130</v>
      </c>
      <c r="H15" s="39">
        <v>30</v>
      </c>
      <c r="I15" s="77">
        <v>0</v>
      </c>
      <c r="J15" s="77">
        <v>0</v>
      </c>
      <c r="K15" s="77">
        <v>0</v>
      </c>
      <c r="L15" s="77">
        <f>1130*35%/30/8*224</f>
        <v>369.13333333333333</v>
      </c>
      <c r="M15" s="77">
        <f t="shared" ref="M15" si="8">+G15+I15+J15+K15+L15</f>
        <v>1499.1333333333332</v>
      </c>
      <c r="N15" s="77">
        <v>100</v>
      </c>
      <c r="O15" s="77">
        <v>0</v>
      </c>
      <c r="P15" s="77">
        <f>+N15+I15+J15+K15+G15+L15+O15</f>
        <v>1599.1333333333332</v>
      </c>
      <c r="Q15" s="115"/>
      <c r="R15" s="77">
        <f>M15*$R$9</f>
        <v>124.92777777777776</v>
      </c>
      <c r="S15" s="77">
        <f>(M15*1.09)*$S$9</f>
        <v>272.39702406666669</v>
      </c>
      <c r="T15" s="77">
        <f>M15*$T$9</f>
        <v>145.71575999999999</v>
      </c>
      <c r="U15" s="77">
        <v>0</v>
      </c>
      <c r="V15" s="77">
        <f>(1130+I15+S15+U15)*$V$9</f>
        <v>126.21573216600001</v>
      </c>
      <c r="W15" s="77">
        <f>(M15+R15)*$W$9</f>
        <v>6.4312819999999995</v>
      </c>
      <c r="X15" s="77">
        <f t="shared" si="2"/>
        <v>23.139550897100001</v>
      </c>
      <c r="Y15" s="131"/>
      <c r="Z15" s="132">
        <f t="shared" ref="Z15" si="9">P15+R15+S15+T15+U15+V15+W15+X15</f>
        <v>2297.9604602408776</v>
      </c>
      <c r="AA15" s="26"/>
      <c r="AB15" s="133">
        <v>1</v>
      </c>
      <c r="AC15" s="26"/>
      <c r="AD15" s="77">
        <f t="shared" ref="AD15" si="10">Z15*AB15</f>
        <v>2297.9604602408776</v>
      </c>
      <c r="AE15" s="26"/>
    </row>
    <row r="16" spans="1:39" s="3" customFormat="1" ht="18" x14ac:dyDescent="0.25">
      <c r="A16" s="26"/>
      <c r="B16" s="136" t="s">
        <v>73</v>
      </c>
      <c r="C16" s="37">
        <v>1</v>
      </c>
      <c r="D16" s="36" t="s">
        <v>70</v>
      </c>
      <c r="E16" s="39" t="s">
        <v>67</v>
      </c>
      <c r="F16" s="26"/>
      <c r="G16" s="77">
        <f t="shared" ref="G16" si="11">1130/30*H16</f>
        <v>1130</v>
      </c>
      <c r="H16" s="39">
        <v>30</v>
      </c>
      <c r="I16" s="77">
        <v>113</v>
      </c>
      <c r="J16" s="77">
        <v>0</v>
      </c>
      <c r="K16" s="77">
        <v>0</v>
      </c>
      <c r="L16" s="77">
        <f>1130*35%/30/8*224</f>
        <v>369.13333333333333</v>
      </c>
      <c r="M16" s="77">
        <f t="shared" ref="M16" si="12">+G16+I16+J16+K16+L16</f>
        <v>1612.1333333333332</v>
      </c>
      <c r="N16" s="77">
        <v>0</v>
      </c>
      <c r="O16" s="77">
        <v>0</v>
      </c>
      <c r="P16" s="77">
        <f>+N16+I16+J16+K16+G16+L16+O16</f>
        <v>1612.1333333333332</v>
      </c>
      <c r="Q16" s="115"/>
      <c r="R16" s="77">
        <f>M16*$R$9</f>
        <v>134.34444444444443</v>
      </c>
      <c r="S16" s="77">
        <f>(M16*1.09)*$S$9</f>
        <v>292.9294630666667</v>
      </c>
      <c r="T16" s="77">
        <f>M16*$T$9</f>
        <v>156.69935999999998</v>
      </c>
      <c r="U16" s="77">
        <v>0</v>
      </c>
      <c r="V16" s="77">
        <f>(1130+I16+S16+U16)*$V$9</f>
        <v>138.23365167600002</v>
      </c>
      <c r="W16" s="77">
        <f>(M16+R16)*$W$9</f>
        <v>6.9160519999999996</v>
      </c>
      <c r="X16" s="77">
        <f t="shared" ref="X16" si="13">(1130+S16)*$X$9</f>
        <v>23.478336140600003</v>
      </c>
      <c r="Y16" s="131"/>
      <c r="Z16" s="132">
        <f t="shared" ref="Z16" si="14">P16+R16+S16+T16+U16+V16+W16+X16</f>
        <v>2364.7346406610445</v>
      </c>
      <c r="AA16" s="26"/>
      <c r="AB16" s="133">
        <v>1</v>
      </c>
      <c r="AC16" s="26"/>
      <c r="AD16" s="77">
        <f t="shared" ref="AD16" si="15">Z16*AB16</f>
        <v>2364.7346406610445</v>
      </c>
      <c r="AE16" s="26"/>
    </row>
    <row r="17" spans="1:32" s="3" customFormat="1" ht="18" x14ac:dyDescent="0.25">
      <c r="A17" s="26"/>
      <c r="B17" s="135" t="s">
        <v>74</v>
      </c>
      <c r="C17" s="37">
        <v>1</v>
      </c>
      <c r="D17" s="36" t="s">
        <v>70</v>
      </c>
      <c r="E17" s="39" t="s">
        <v>67</v>
      </c>
      <c r="F17" s="26"/>
      <c r="G17" s="77">
        <f t="shared" ref="G17" si="16">1130/30*H17</f>
        <v>1130</v>
      </c>
      <c r="H17" s="39">
        <v>30</v>
      </c>
      <c r="I17" s="77">
        <v>113</v>
      </c>
      <c r="J17" s="77">
        <v>0</v>
      </c>
      <c r="K17" s="77">
        <v>0</v>
      </c>
      <c r="L17" s="77">
        <v>0</v>
      </c>
      <c r="M17" s="77">
        <f t="shared" ref="M17" si="17">+G17+I17+J17+K17+L17</f>
        <v>1243</v>
      </c>
      <c r="N17" s="77">
        <v>0</v>
      </c>
      <c r="O17" s="77">
        <v>0</v>
      </c>
      <c r="P17" s="77">
        <f>+N17+I17+J17+K17+G17+L17+O17</f>
        <v>1243</v>
      </c>
      <c r="Q17" s="115"/>
      <c r="R17" s="77">
        <f>M17*$R$9</f>
        <v>103.58333333333333</v>
      </c>
      <c r="S17" s="77">
        <f>(M17*1.09)*$S$9</f>
        <v>225.85682900000003</v>
      </c>
      <c r="T17" s="77">
        <f>M17*$T$9</f>
        <v>120.81959999999999</v>
      </c>
      <c r="U17" s="77">
        <v>0</v>
      </c>
      <c r="V17" s="77">
        <f>(1130+I17+S17+U17)*$V$9</f>
        <v>132.19711461</v>
      </c>
      <c r="W17" s="77">
        <f>(M17+R17)*$W$9</f>
        <v>5.3324699999999998</v>
      </c>
      <c r="X17" s="77">
        <f t="shared" ref="X17" si="18">(1130+S17)*$X$9</f>
        <v>22.371637678500001</v>
      </c>
      <c r="Y17" s="131"/>
      <c r="Z17" s="132">
        <f t="shared" ref="Z17" si="19">P17+R17+S17+T17+U17+V17+W17+X17</f>
        <v>1853.1609846218334</v>
      </c>
      <c r="AA17" s="26"/>
      <c r="AB17" s="133">
        <v>1</v>
      </c>
      <c r="AC17" s="26"/>
      <c r="AD17" s="77">
        <f t="shared" ref="AD17" si="20">Z17*AB17</f>
        <v>1853.1609846218334</v>
      </c>
      <c r="AE17" s="26"/>
    </row>
    <row r="18" spans="1:32" s="3" customFormat="1" ht="18" x14ac:dyDescent="0.25">
      <c r="A18" s="26"/>
      <c r="B18" s="135" t="s">
        <v>75</v>
      </c>
      <c r="C18" s="37">
        <v>1</v>
      </c>
      <c r="D18" s="36" t="s">
        <v>70</v>
      </c>
      <c r="E18" s="39" t="s">
        <v>67</v>
      </c>
      <c r="F18" s="26"/>
      <c r="G18" s="77">
        <f t="shared" ref="G18" si="21">1130/30*H18</f>
        <v>1130</v>
      </c>
      <c r="H18" s="39">
        <v>30</v>
      </c>
      <c r="I18" s="77">
        <v>0</v>
      </c>
      <c r="J18" s="77">
        <v>0</v>
      </c>
      <c r="K18" s="77">
        <v>0</v>
      </c>
      <c r="L18" s="77">
        <v>0</v>
      </c>
      <c r="M18" s="77">
        <f t="shared" ref="M18" si="22">+G18+I18+J18+K18+L18</f>
        <v>1130</v>
      </c>
      <c r="N18" s="77">
        <v>0</v>
      </c>
      <c r="O18" s="77">
        <v>0</v>
      </c>
      <c r="P18" s="77">
        <f>+N18+I18+J18+K18+G18+L18+O18</f>
        <v>1130</v>
      </c>
      <c r="Q18" s="115"/>
      <c r="R18" s="77">
        <f>M18*$R$9</f>
        <v>94.166666666666657</v>
      </c>
      <c r="S18" s="77">
        <f>(M18*1.09)*$S$9</f>
        <v>205.32439000000002</v>
      </c>
      <c r="T18" s="77">
        <f>M18*$T$9</f>
        <v>109.836</v>
      </c>
      <c r="U18" s="77">
        <v>0</v>
      </c>
      <c r="V18" s="77">
        <f>(1130+I18+S18+U18)*$V$9</f>
        <v>120.1791951</v>
      </c>
      <c r="W18" s="77">
        <f>(M18+R18)*$W$9</f>
        <v>4.8477000000000006</v>
      </c>
      <c r="X18" s="77">
        <f t="shared" ref="X18" si="23">(1130+S18)*$X$9</f>
        <v>22.032852435000002</v>
      </c>
      <c r="Y18" s="131"/>
      <c r="Z18" s="132">
        <f t="shared" ref="Z18" si="24">P18+R18+S18+T18+U18+V18+W18+X18</f>
        <v>1686.3868042016668</v>
      </c>
      <c r="AA18" s="26"/>
      <c r="AB18" s="133">
        <v>1</v>
      </c>
      <c r="AC18" s="26"/>
      <c r="AD18" s="77">
        <f t="shared" ref="AD18" si="25">Z18*AB18</f>
        <v>1686.3868042016668</v>
      </c>
      <c r="AE18" s="26"/>
    </row>
    <row r="19" spans="1:32" s="3" customFormat="1" ht="18" x14ac:dyDescent="0.25">
      <c r="A19" s="26"/>
      <c r="B19" s="135" t="s">
        <v>76</v>
      </c>
      <c r="C19" s="37">
        <v>1</v>
      </c>
      <c r="D19" s="36" t="s">
        <v>70</v>
      </c>
      <c r="E19" s="39" t="s">
        <v>67</v>
      </c>
      <c r="F19" s="26"/>
      <c r="G19" s="77">
        <f t="shared" ref="G19" si="26">1130/30*H19</f>
        <v>1130</v>
      </c>
      <c r="H19" s="39">
        <v>30</v>
      </c>
      <c r="I19" s="77">
        <v>113</v>
      </c>
      <c r="J19" s="77">
        <v>0</v>
      </c>
      <c r="K19" s="77">
        <v>0</v>
      </c>
      <c r="L19" s="77">
        <f>1130*35%/30/8*224</f>
        <v>369.13333333333333</v>
      </c>
      <c r="M19" s="77">
        <f t="shared" ref="M19" si="27">+G19+I19+J19+K19+L19</f>
        <v>1612.1333333333332</v>
      </c>
      <c r="N19" s="77">
        <v>0</v>
      </c>
      <c r="O19" s="77">
        <v>0</v>
      </c>
      <c r="P19" s="77">
        <f>+N19+I19+J19+K19+G19+L19+O19</f>
        <v>1612.1333333333332</v>
      </c>
      <c r="Q19" s="115"/>
      <c r="R19" s="77">
        <f>M19*$R$9</f>
        <v>134.34444444444443</v>
      </c>
      <c r="S19" s="77">
        <f>(M19*1.09)*$S$9</f>
        <v>292.9294630666667</v>
      </c>
      <c r="T19" s="77">
        <f>M19*$T$9</f>
        <v>156.69935999999998</v>
      </c>
      <c r="U19" s="77">
        <v>0</v>
      </c>
      <c r="V19" s="77">
        <f>(1130+I19+S19+U19)*$V$9</f>
        <v>138.23365167600002</v>
      </c>
      <c r="W19" s="77">
        <f>(M19+R19)*$W$9</f>
        <v>6.9160519999999996</v>
      </c>
      <c r="X19" s="77">
        <f t="shared" ref="X19" si="28">(1130+S19)*$X$9</f>
        <v>23.478336140600003</v>
      </c>
      <c r="Y19" s="131"/>
      <c r="Z19" s="132">
        <f t="shared" ref="Z19" si="29">P19+R19+S19+T19+U19+V19+W19+X19</f>
        <v>2364.7346406610445</v>
      </c>
      <c r="AA19" s="26"/>
      <c r="AB19" s="133">
        <v>1</v>
      </c>
      <c r="AC19" s="26"/>
      <c r="AD19" s="77">
        <f t="shared" ref="AD19" si="30">Z19*AB19</f>
        <v>2364.7346406610445</v>
      </c>
      <c r="AE19" s="26"/>
    </row>
    <row r="20" spans="1:32" s="3" customFormat="1" ht="18" x14ac:dyDescent="0.25">
      <c r="A20" s="26"/>
      <c r="B20" s="135" t="s">
        <v>77</v>
      </c>
      <c r="C20" s="37">
        <v>1</v>
      </c>
      <c r="D20" s="36" t="s">
        <v>70</v>
      </c>
      <c r="E20" s="39" t="s">
        <v>67</v>
      </c>
      <c r="F20" s="26"/>
      <c r="G20" s="77">
        <f t="shared" ref="G20" si="31">1130/30*H20</f>
        <v>1130</v>
      </c>
      <c r="H20" s="39">
        <v>30</v>
      </c>
      <c r="I20" s="77">
        <v>113</v>
      </c>
      <c r="J20" s="77">
        <v>0</v>
      </c>
      <c r="K20" s="77">
        <v>0</v>
      </c>
      <c r="L20" s="77">
        <v>0</v>
      </c>
      <c r="M20" s="77">
        <f t="shared" ref="M20" si="32">+G20+I20+J20+K20+L20</f>
        <v>1243</v>
      </c>
      <c r="N20" s="77">
        <v>0</v>
      </c>
      <c r="O20" s="77">
        <v>0</v>
      </c>
      <c r="P20" s="77">
        <f>+N20+I20+J20+K20+G20+L20+O20</f>
        <v>1243</v>
      </c>
      <c r="Q20" s="115"/>
      <c r="R20" s="77">
        <f>M20*$R$9</f>
        <v>103.58333333333333</v>
      </c>
      <c r="S20" s="77">
        <f>(M20*1.09)*$S$9</f>
        <v>225.85682900000003</v>
      </c>
      <c r="T20" s="77">
        <f>M20*$T$9</f>
        <v>120.81959999999999</v>
      </c>
      <c r="U20" s="77">
        <v>0</v>
      </c>
      <c r="V20" s="77">
        <f>(1130+I20+S20+U20)*$V$9</f>
        <v>132.19711461</v>
      </c>
      <c r="W20" s="77">
        <f>(M20+R20)*$W$9</f>
        <v>5.3324699999999998</v>
      </c>
      <c r="X20" s="77">
        <f t="shared" ref="X20" si="33">(1130+S20)*$X$9</f>
        <v>22.371637678500001</v>
      </c>
      <c r="Y20" s="131"/>
      <c r="Z20" s="132">
        <f t="shared" ref="Z20" si="34">P20+R20+S20+T20+U20+V20+W20+X20</f>
        <v>1853.1609846218334</v>
      </c>
      <c r="AA20" s="26"/>
      <c r="AB20" s="133">
        <v>1</v>
      </c>
      <c r="AC20" s="26"/>
      <c r="AD20" s="77">
        <f t="shared" ref="AD20" si="35">Z20*AB20</f>
        <v>1853.1609846218334</v>
      </c>
      <c r="AE20" s="26"/>
    </row>
    <row r="21" spans="1:32" s="3" customFormat="1" ht="18" x14ac:dyDescent="0.25">
      <c r="A21" s="26"/>
      <c r="B21" s="135" t="s">
        <v>78</v>
      </c>
      <c r="C21" s="37">
        <v>1</v>
      </c>
      <c r="D21" s="36" t="s">
        <v>70</v>
      </c>
      <c r="E21" s="39" t="s">
        <v>67</v>
      </c>
      <c r="F21" s="26"/>
      <c r="G21" s="77">
        <f t="shared" ref="G21" si="36">1130/30*H21</f>
        <v>1130</v>
      </c>
      <c r="H21" s="39">
        <v>30</v>
      </c>
      <c r="I21" s="77">
        <v>0</v>
      </c>
      <c r="J21" s="77">
        <v>0</v>
      </c>
      <c r="K21" s="77">
        <v>0</v>
      </c>
      <c r="L21" s="77">
        <f>1130*35%/30/8*184</f>
        <v>303.2166666666667</v>
      </c>
      <c r="M21" s="77">
        <f t="shared" ref="M21" si="37">+G21+I21+J21+K21+L21</f>
        <v>1433.2166666666667</v>
      </c>
      <c r="N21" s="77">
        <v>0</v>
      </c>
      <c r="O21" s="77">
        <v>0</v>
      </c>
      <c r="P21" s="77">
        <f>+N21+I21+J21+K21+G21+L21+O21</f>
        <v>1433.2166666666667</v>
      </c>
      <c r="Q21" s="115"/>
      <c r="R21" s="77">
        <f>M21*$R$9</f>
        <v>119.43472222222222</v>
      </c>
      <c r="S21" s="77">
        <f>(M21*1.09)*$S$9</f>
        <v>260.41976798333337</v>
      </c>
      <c r="T21" s="77">
        <f>M21*$T$9</f>
        <v>139.30866</v>
      </c>
      <c r="U21" s="77">
        <v>0</v>
      </c>
      <c r="V21" s="77">
        <f>(1130+I21+S21+U21)*$V$9</f>
        <v>125.13777911849999</v>
      </c>
      <c r="W21" s="77">
        <f>(M21+R21)*$W$9</f>
        <v>6.1484995000000007</v>
      </c>
      <c r="X21" s="77">
        <f t="shared" ref="X21" si="38">(1130+S21)*$X$9</f>
        <v>22.941926171725001</v>
      </c>
      <c r="Y21" s="131"/>
      <c r="Z21" s="132">
        <f t="shared" ref="Z21" si="39">P21+R21+S21+T21+U21+V21+W21+X21</f>
        <v>2106.6080216624468</v>
      </c>
      <c r="AA21" s="26"/>
      <c r="AB21" s="133">
        <v>1</v>
      </c>
      <c r="AC21" s="26"/>
      <c r="AD21" s="77">
        <f t="shared" ref="AD21" si="40">Z21*AB21</f>
        <v>2106.6080216624468</v>
      </c>
      <c r="AE21" s="26"/>
    </row>
    <row r="22" spans="1:32" s="3" customFormat="1" ht="18" x14ac:dyDescent="0.25">
      <c r="A22" s="26"/>
      <c r="B22" s="135" t="s">
        <v>79</v>
      </c>
      <c r="C22" s="37">
        <v>1</v>
      </c>
      <c r="D22" s="36" t="s">
        <v>70</v>
      </c>
      <c r="E22" s="39" t="s">
        <v>67</v>
      </c>
      <c r="F22" s="26"/>
      <c r="G22" s="77">
        <f t="shared" ref="G22" si="41">1130/30*H22</f>
        <v>1130</v>
      </c>
      <c r="H22" s="39">
        <v>30</v>
      </c>
      <c r="I22" s="77">
        <v>113</v>
      </c>
      <c r="J22" s="77">
        <v>0</v>
      </c>
      <c r="K22" s="77">
        <v>0</v>
      </c>
      <c r="L22" s="77">
        <v>0</v>
      </c>
      <c r="M22" s="77">
        <f t="shared" ref="M22" si="42">+G22+I22+J22+K22+L22</f>
        <v>1243</v>
      </c>
      <c r="N22" s="77">
        <v>0</v>
      </c>
      <c r="O22" s="77">
        <v>0</v>
      </c>
      <c r="P22" s="77">
        <f>+N22+I22+J22+K22+G22+L22+O22</f>
        <v>1243</v>
      </c>
      <c r="Q22" s="115"/>
      <c r="R22" s="77">
        <f>M22*$R$9</f>
        <v>103.58333333333333</v>
      </c>
      <c r="S22" s="77">
        <f>(M22*1.09)*$S$9</f>
        <v>225.85682900000003</v>
      </c>
      <c r="T22" s="77">
        <f>M22*$T$9</f>
        <v>120.81959999999999</v>
      </c>
      <c r="U22" s="77">
        <v>0</v>
      </c>
      <c r="V22" s="77">
        <f>(1130+I22+S22+U22)*$V$9</f>
        <v>132.19711461</v>
      </c>
      <c r="W22" s="77">
        <f>(M22+R22)*$W$9</f>
        <v>5.3324699999999998</v>
      </c>
      <c r="X22" s="77">
        <f t="shared" ref="X22" si="43">(1130+S22)*$X$9</f>
        <v>22.371637678500001</v>
      </c>
      <c r="Y22" s="131"/>
      <c r="Z22" s="132">
        <f t="shared" ref="Z22" si="44">P22+R22+S22+T22+U22+V22+W22+X22</f>
        <v>1853.1609846218334</v>
      </c>
      <c r="AA22" s="26"/>
      <c r="AB22" s="133">
        <v>1</v>
      </c>
      <c r="AC22" s="26"/>
      <c r="AD22" s="77">
        <f t="shared" ref="AD22" si="45">Z22*AB22</f>
        <v>1853.1609846218334</v>
      </c>
      <c r="AE22" s="26"/>
    </row>
    <row r="23" spans="1:32" s="3" customFormat="1" ht="18" x14ac:dyDescent="0.25">
      <c r="A23" s="26"/>
      <c r="B23" s="135" t="s">
        <v>80</v>
      </c>
      <c r="C23" s="37">
        <v>1</v>
      </c>
      <c r="D23" s="36" t="s">
        <v>70</v>
      </c>
      <c r="E23" s="39" t="s">
        <v>67</v>
      </c>
      <c r="F23" s="26"/>
      <c r="G23" s="77">
        <f t="shared" ref="G23" si="46">1130/30*H23</f>
        <v>1130</v>
      </c>
      <c r="H23" s="39">
        <v>30</v>
      </c>
      <c r="I23" s="77">
        <v>0</v>
      </c>
      <c r="J23" s="77">
        <v>0</v>
      </c>
      <c r="K23" s="77">
        <v>0</v>
      </c>
      <c r="L23" s="77">
        <v>0</v>
      </c>
      <c r="M23" s="77">
        <f t="shared" ref="M23" si="47">+G23+I23+J23+K23+L23</f>
        <v>1130</v>
      </c>
      <c r="N23" s="77">
        <v>0</v>
      </c>
      <c r="O23" s="77">
        <v>0</v>
      </c>
      <c r="P23" s="77">
        <f>+N23+I23+J23+K23+G23+L23+O23</f>
        <v>1130</v>
      </c>
      <c r="Q23" s="115"/>
      <c r="R23" s="77">
        <f>M23*$R$9</f>
        <v>94.166666666666657</v>
      </c>
      <c r="S23" s="77">
        <f>(M23*1.09)*$S$9</f>
        <v>205.32439000000002</v>
      </c>
      <c r="T23" s="77">
        <f>M23*$T$9</f>
        <v>109.836</v>
      </c>
      <c r="U23" s="77">
        <v>0</v>
      </c>
      <c r="V23" s="77">
        <f>(1130+I23+S23+U23)*$V$9</f>
        <v>120.1791951</v>
      </c>
      <c r="W23" s="77">
        <f>(M23+R23)*$W$9</f>
        <v>4.8477000000000006</v>
      </c>
      <c r="X23" s="77">
        <f t="shared" ref="X23" si="48">(1130+S23)*$X$9</f>
        <v>22.032852435000002</v>
      </c>
      <c r="Y23" s="131"/>
      <c r="Z23" s="132">
        <f t="shared" ref="Z23" si="49">P23+R23+S23+T23+U23+V23+W23+X23</f>
        <v>1686.3868042016668</v>
      </c>
      <c r="AA23" s="26"/>
      <c r="AB23" s="133">
        <v>1</v>
      </c>
      <c r="AC23" s="26"/>
      <c r="AD23" s="77">
        <f t="shared" ref="AD23" si="50">Z23*AB23</f>
        <v>1686.3868042016668</v>
      </c>
      <c r="AE23" s="26"/>
    </row>
    <row r="24" spans="1:32" s="3" customFormat="1" ht="17.25" customHeight="1" x14ac:dyDescent="0.25">
      <c r="A24" s="26"/>
      <c r="B24" s="135" t="s">
        <v>126</v>
      </c>
      <c r="C24" s="37">
        <v>1</v>
      </c>
      <c r="D24" s="36" t="s">
        <v>70</v>
      </c>
      <c r="E24" s="39" t="s">
        <v>67</v>
      </c>
      <c r="F24" s="26"/>
      <c r="G24" s="77">
        <f t="shared" ref="G24" si="51">1130/30*H24</f>
        <v>226</v>
      </c>
      <c r="H24" s="39">
        <v>6</v>
      </c>
      <c r="I24" s="77">
        <v>113</v>
      </c>
      <c r="J24" s="77">
        <v>0</v>
      </c>
      <c r="K24" s="77">
        <v>0</v>
      </c>
      <c r="L24" s="77">
        <v>0</v>
      </c>
      <c r="M24" s="77">
        <f t="shared" ref="M24" si="52">+G24+I24+J24+K24+L24</f>
        <v>339</v>
      </c>
      <c r="N24" s="77">
        <v>0</v>
      </c>
      <c r="O24" s="77">
        <v>0</v>
      </c>
      <c r="P24" s="77">
        <f>+N24+I24+J24+K24+G24+L24+O24</f>
        <v>339</v>
      </c>
      <c r="Q24" s="115"/>
      <c r="R24" s="77">
        <f>M24*$R$9</f>
        <v>28.25</v>
      </c>
      <c r="S24" s="77">
        <f>(M24*1.09)*$S$9</f>
        <v>61.597317000000011</v>
      </c>
      <c r="T24" s="77">
        <f>M24*$T$9</f>
        <v>32.950800000000001</v>
      </c>
      <c r="U24" s="77">
        <v>0</v>
      </c>
      <c r="V24" s="77">
        <f>(1130+I24+S24+U24)*$V$9</f>
        <v>117.41375853</v>
      </c>
      <c r="W24" s="77">
        <f>(M24+R24)*$W$9</f>
        <v>1.45431</v>
      </c>
      <c r="X24" s="77">
        <f>(1130+S24)*$X$9</f>
        <v>19.661355730500002</v>
      </c>
      <c r="Y24" s="131"/>
      <c r="Z24" s="132">
        <f t="shared" ref="Z24" si="53">P24+R24+S24+T24+U24+V24+W24+X24</f>
        <v>600.32754126049997</v>
      </c>
      <c r="AA24" s="26"/>
      <c r="AB24" s="133">
        <v>1</v>
      </c>
      <c r="AC24" s="26"/>
      <c r="AD24" s="77">
        <f t="shared" ref="AD24" si="54">Z24*AB24</f>
        <v>600.32754126049997</v>
      </c>
      <c r="AE24" s="26"/>
    </row>
    <row r="25" spans="1:32" s="3" customFormat="1" ht="18" customHeight="1" x14ac:dyDescent="0.25">
      <c r="A25" s="26"/>
      <c r="B25" s="135" t="s">
        <v>130</v>
      </c>
      <c r="C25" s="37">
        <v>1</v>
      </c>
      <c r="D25" s="36" t="s">
        <v>70</v>
      </c>
      <c r="E25" s="39" t="s">
        <v>67</v>
      </c>
      <c r="F25" s="26"/>
      <c r="G25" s="77">
        <f t="shared" ref="G25:G26" si="55">1130/30*H25</f>
        <v>1130</v>
      </c>
      <c r="H25" s="39">
        <v>30</v>
      </c>
      <c r="I25" s="77">
        <v>113</v>
      </c>
      <c r="J25" s="77">
        <v>0</v>
      </c>
      <c r="K25" s="77">
        <v>0</v>
      </c>
      <c r="L25" s="77">
        <v>0</v>
      </c>
      <c r="M25" s="77">
        <f t="shared" ref="M25:M26" si="56">+G25+I25+J25+K25+L25</f>
        <v>1243</v>
      </c>
      <c r="N25" s="77">
        <v>0</v>
      </c>
      <c r="O25" s="77">
        <v>0</v>
      </c>
      <c r="P25" s="77">
        <f>+N25+I25+J25+K25+G25+L25+O25</f>
        <v>1243</v>
      </c>
      <c r="Q25" s="115"/>
      <c r="R25" s="77">
        <f>M25*$R$9</f>
        <v>103.58333333333333</v>
      </c>
      <c r="S25" s="77">
        <f>(M25*1.09)*$S$9</f>
        <v>225.85682900000003</v>
      </c>
      <c r="T25" s="77">
        <f>M25*$T$9</f>
        <v>120.81959999999999</v>
      </c>
      <c r="U25" s="77">
        <v>0</v>
      </c>
      <c r="V25" s="77">
        <f>(1130+I25+S25+U25)*$V$9</f>
        <v>132.19711461</v>
      </c>
      <c r="W25" s="77">
        <f>(M25+R25)*$W$9</f>
        <v>5.3324699999999998</v>
      </c>
      <c r="X25" s="77">
        <f t="shared" ref="X25:X26" si="57">(1130+S25)*$X$9</f>
        <v>22.371637678500001</v>
      </c>
      <c r="Y25" s="131"/>
      <c r="Z25" s="132">
        <f t="shared" ref="Z25:Z26" si="58">P25+R25+S25+T25+U25+V25+W25+X25</f>
        <v>1853.1609846218334</v>
      </c>
      <c r="AA25" s="26"/>
      <c r="AB25" s="133">
        <v>1</v>
      </c>
      <c r="AC25" s="26"/>
      <c r="AD25" s="77">
        <f t="shared" ref="AD25:AD26" si="59">Z25*AB25</f>
        <v>1853.1609846218334</v>
      </c>
      <c r="AE25" s="26"/>
    </row>
    <row r="26" spans="1:32" s="3" customFormat="1" ht="18" customHeight="1" x14ac:dyDescent="0.25">
      <c r="A26" s="26"/>
      <c r="B26" s="135" t="s">
        <v>127</v>
      </c>
      <c r="C26" s="37">
        <v>1</v>
      </c>
      <c r="D26" s="36" t="s">
        <v>70</v>
      </c>
      <c r="E26" s="39" t="s">
        <v>67</v>
      </c>
      <c r="F26" s="26"/>
      <c r="G26" s="77">
        <f t="shared" si="55"/>
        <v>1130</v>
      </c>
      <c r="H26" s="39">
        <v>30</v>
      </c>
      <c r="I26" s="77">
        <v>113</v>
      </c>
      <c r="J26" s="77">
        <v>0</v>
      </c>
      <c r="K26" s="77">
        <v>0</v>
      </c>
      <c r="L26" s="77">
        <v>0</v>
      </c>
      <c r="M26" s="77">
        <f t="shared" si="56"/>
        <v>1243</v>
      </c>
      <c r="N26" s="77">
        <v>0</v>
      </c>
      <c r="O26" s="77">
        <v>0</v>
      </c>
      <c r="P26" s="77">
        <f>+N26+I26+J26+K26+G26+L26+O26</f>
        <v>1243</v>
      </c>
      <c r="Q26" s="115"/>
      <c r="R26" s="77">
        <f>M26*$R$9</f>
        <v>103.58333333333333</v>
      </c>
      <c r="S26" s="77">
        <f>(M26*1.09)*$S$9</f>
        <v>225.85682900000003</v>
      </c>
      <c r="T26" s="77">
        <f>M26*$T$9</f>
        <v>120.81959999999999</v>
      </c>
      <c r="U26" s="77">
        <v>0</v>
      </c>
      <c r="V26" s="77">
        <f>(1130+I26+S26+U26)*$V$9</f>
        <v>132.19711461</v>
      </c>
      <c r="W26" s="77">
        <f>(M26+R26)*$W$9</f>
        <v>5.3324699999999998</v>
      </c>
      <c r="X26" s="77">
        <f t="shared" si="57"/>
        <v>22.371637678500001</v>
      </c>
      <c r="Y26" s="131"/>
      <c r="Z26" s="132">
        <f t="shared" si="58"/>
        <v>1853.1609846218334</v>
      </c>
      <c r="AA26" s="26"/>
      <c r="AB26" s="133">
        <v>1</v>
      </c>
      <c r="AC26" s="26"/>
      <c r="AD26" s="77">
        <f t="shared" si="59"/>
        <v>1853.1609846218334</v>
      </c>
      <c r="AE26" s="26"/>
    </row>
    <row r="27" spans="1:32" s="3" customFormat="1" ht="18" customHeight="1" x14ac:dyDescent="0.25">
      <c r="A27" s="26"/>
      <c r="B27" s="135" t="s">
        <v>129</v>
      </c>
      <c r="C27" s="37">
        <v>1</v>
      </c>
      <c r="D27" s="36" t="s">
        <v>70</v>
      </c>
      <c r="E27" s="39" t="s">
        <v>67</v>
      </c>
      <c r="F27" s="26"/>
      <c r="G27" s="77">
        <f t="shared" ref="G27" si="60">1130/30*H27</f>
        <v>1130</v>
      </c>
      <c r="H27" s="39">
        <v>30</v>
      </c>
      <c r="I27" s="77">
        <v>113</v>
      </c>
      <c r="J27" s="77">
        <v>0</v>
      </c>
      <c r="K27" s="77">
        <v>0</v>
      </c>
      <c r="L27" s="77">
        <v>0</v>
      </c>
      <c r="M27" s="77">
        <f t="shared" ref="M27" si="61">+G27+I27+J27+K27+L27</f>
        <v>1243</v>
      </c>
      <c r="N27" s="77">
        <v>0</v>
      </c>
      <c r="O27" s="77">
        <v>0</v>
      </c>
      <c r="P27" s="77">
        <f>+N27+I27+J27+K27+G27+L27+O27</f>
        <v>1243</v>
      </c>
      <c r="Q27" s="115"/>
      <c r="R27" s="77">
        <f>M27*$R$9</f>
        <v>103.58333333333333</v>
      </c>
      <c r="S27" s="77">
        <f>(M27*1.09)*$S$9</f>
        <v>225.85682900000003</v>
      </c>
      <c r="T27" s="77">
        <f>M27*$T$9</f>
        <v>120.81959999999999</v>
      </c>
      <c r="U27" s="77">
        <v>0</v>
      </c>
      <c r="V27" s="77">
        <f>(1130+I27+S27+U27)*$V$9</f>
        <v>132.19711461</v>
      </c>
      <c r="W27" s="77">
        <f>(M27+R27)*$W$9</f>
        <v>5.3324699999999998</v>
      </c>
      <c r="X27" s="77">
        <f t="shared" ref="X27" si="62">(1130+S27)*$X$9</f>
        <v>22.371637678500001</v>
      </c>
      <c r="Y27" s="131"/>
      <c r="Z27" s="132">
        <f t="shared" ref="Z27" si="63">P27+R27+S27+T27+U27+V27+W27+X27</f>
        <v>1853.1609846218334</v>
      </c>
      <c r="AA27" s="26"/>
      <c r="AB27" s="133">
        <v>1</v>
      </c>
      <c r="AC27" s="26"/>
      <c r="AD27" s="77">
        <f t="shared" ref="AD27" si="64">Z27*AB27</f>
        <v>1853.1609846218334</v>
      </c>
      <c r="AE27" s="26"/>
    </row>
    <row r="28" spans="1:32" s="3" customFormat="1" ht="18" customHeight="1" x14ac:dyDescent="0.25">
      <c r="A28" s="26"/>
      <c r="B28" s="135" t="s">
        <v>133</v>
      </c>
      <c r="C28" s="37">
        <v>1</v>
      </c>
      <c r="D28" s="36" t="s">
        <v>70</v>
      </c>
      <c r="E28" s="39" t="s">
        <v>67</v>
      </c>
      <c r="F28" s="26"/>
      <c r="G28" s="77">
        <f t="shared" ref="G28" si="65">1130/30*H28</f>
        <v>1130</v>
      </c>
      <c r="H28" s="39">
        <v>30</v>
      </c>
      <c r="I28" s="77">
        <v>113</v>
      </c>
      <c r="J28" s="77">
        <v>0</v>
      </c>
      <c r="K28" s="77">
        <v>0</v>
      </c>
      <c r="L28" s="77">
        <v>0</v>
      </c>
      <c r="M28" s="77">
        <f t="shared" ref="M28" si="66">+G28+I28+J28+K28+L28</f>
        <v>1243</v>
      </c>
      <c r="N28" s="77">
        <v>0</v>
      </c>
      <c r="O28" s="77">
        <v>0</v>
      </c>
      <c r="P28" s="77">
        <f>+N28+I28+J28+K28+G28+L28+O28</f>
        <v>1243</v>
      </c>
      <c r="Q28" s="115"/>
      <c r="R28" s="77">
        <f>M28*$R$9</f>
        <v>103.58333333333333</v>
      </c>
      <c r="S28" s="77">
        <f>(M28*1.09)*$S$9</f>
        <v>225.85682900000003</v>
      </c>
      <c r="T28" s="77">
        <f>M28*$T$9</f>
        <v>120.81959999999999</v>
      </c>
      <c r="U28" s="77">
        <v>0</v>
      </c>
      <c r="V28" s="77">
        <f>(1130+I28+S28+U28)*$V$9</f>
        <v>132.19711461</v>
      </c>
      <c r="W28" s="77">
        <f>(M28+R28)*$W$9</f>
        <v>5.3324699999999998</v>
      </c>
      <c r="X28" s="77">
        <f t="shared" ref="X28" si="67">(1130+S28)*$X$9</f>
        <v>22.371637678500001</v>
      </c>
      <c r="Y28" s="131"/>
      <c r="Z28" s="132">
        <f t="shared" ref="Z28" si="68">P28+R28+S28+T28+U28+V28+W28+X28</f>
        <v>1853.1609846218334</v>
      </c>
      <c r="AA28" s="26"/>
      <c r="AB28" s="133">
        <v>1</v>
      </c>
      <c r="AC28" s="26"/>
      <c r="AD28" s="77">
        <f t="shared" ref="AD28" si="69">Z28*AB28</f>
        <v>1853.1609846218334</v>
      </c>
      <c r="AE28" s="26"/>
    </row>
    <row r="29" spans="1:32" s="3" customFormat="1" ht="18" x14ac:dyDescent="0.25">
      <c r="A29" s="26"/>
      <c r="B29" s="135" t="s">
        <v>128</v>
      </c>
      <c r="C29" s="37">
        <v>1</v>
      </c>
      <c r="D29" s="36" t="s">
        <v>70</v>
      </c>
      <c r="E29" s="39" t="s">
        <v>67</v>
      </c>
      <c r="F29" s="26"/>
      <c r="G29" s="77">
        <f t="shared" ref="G29" si="70">1130/30*H29</f>
        <v>1130</v>
      </c>
      <c r="H29" s="39">
        <v>30</v>
      </c>
      <c r="I29" s="77">
        <v>113</v>
      </c>
      <c r="J29" s="77">
        <v>0</v>
      </c>
      <c r="K29" s="77">
        <v>0</v>
      </c>
      <c r="L29" s="77">
        <v>0</v>
      </c>
      <c r="M29" s="77">
        <f t="shared" ref="M29" si="71">+G29+I29+J29+K29+L29</f>
        <v>1243</v>
      </c>
      <c r="N29" s="77">
        <v>0</v>
      </c>
      <c r="O29" s="77">
        <v>0</v>
      </c>
      <c r="P29" s="77">
        <f>+N29+I29+J29+K29+G29+L29+O29</f>
        <v>1243</v>
      </c>
      <c r="Q29" s="115"/>
      <c r="R29" s="77">
        <f>M29*$R$9</f>
        <v>103.58333333333333</v>
      </c>
      <c r="S29" s="77">
        <f>(M29*1.09)*$S$9</f>
        <v>225.85682900000003</v>
      </c>
      <c r="T29" s="77">
        <f>M29*$T$9</f>
        <v>120.81959999999999</v>
      </c>
      <c r="U29" s="77">
        <v>0</v>
      </c>
      <c r="V29" s="77">
        <f>(1130+I29+S29+U29)*$V$9</f>
        <v>132.19711461</v>
      </c>
      <c r="W29" s="77">
        <f>(M29+R29)*$W$9</f>
        <v>5.3324699999999998</v>
      </c>
      <c r="X29" s="77">
        <f t="shared" ref="X29" si="72">(1130+S29)*$X$9</f>
        <v>22.371637678500001</v>
      </c>
      <c r="Y29" s="131"/>
      <c r="Z29" s="132">
        <f t="shared" ref="Z29" si="73">P29+R29+S29+T29+U29+V29+W29+X29</f>
        <v>1853.1609846218334</v>
      </c>
      <c r="AA29" s="26"/>
      <c r="AB29" s="133">
        <v>1</v>
      </c>
      <c r="AC29" s="26"/>
      <c r="AD29" s="77">
        <f t="shared" ref="AD29" si="74">Z29*AB29</f>
        <v>1853.1609846218334</v>
      </c>
      <c r="AE29" s="26"/>
    </row>
    <row r="30" spans="1:32" ht="16.5" customHeight="1" thickBot="1" x14ac:dyDescent="0.3">
      <c r="A30" s="10"/>
      <c r="B30" s="1"/>
      <c r="C30" s="45"/>
      <c r="D30" s="2"/>
      <c r="E30" s="45"/>
      <c r="F30" s="10"/>
      <c r="G30" s="46">
        <f>SUM(G11:G29)</f>
        <v>23306</v>
      </c>
      <c r="H30" s="46"/>
      <c r="I30" s="46">
        <f>SUM(I11:I29)</f>
        <v>1695</v>
      </c>
      <c r="J30" s="46">
        <f>SUM(J11:J29)</f>
        <v>0</v>
      </c>
      <c r="K30" s="46">
        <f>SUM(K11:K29)</f>
        <v>0</v>
      </c>
      <c r="L30" s="46">
        <f>SUM(L11:L29)</f>
        <v>1410.6166666666668</v>
      </c>
      <c r="M30" s="46">
        <f>SUM(M11:M29)</f>
        <v>26411.616666666665</v>
      </c>
      <c r="N30" s="46">
        <f>SUM(N11:N29)</f>
        <v>300</v>
      </c>
      <c r="O30" s="46">
        <f>SUM(O11:O29)</f>
        <v>0</v>
      </c>
      <c r="P30" s="46">
        <f>SUM(P11:P29)</f>
        <v>26711.616666666665</v>
      </c>
      <c r="Q30" s="46"/>
      <c r="R30" s="46">
        <f>SUM(R11:R29)</f>
        <v>2200.9680555555556</v>
      </c>
      <c r="S30" s="46">
        <f>SUM(S11:S29)</f>
        <v>4799.0699831833344</v>
      </c>
      <c r="T30" s="46">
        <f>SUM(T11:T29)</f>
        <v>2567.2091399999995</v>
      </c>
      <c r="U30" s="46">
        <f>SUM(U11:U29)</f>
        <v>0</v>
      </c>
      <c r="V30" s="46">
        <f>SUM(V11:V29)</f>
        <v>2817.3662984865</v>
      </c>
      <c r="W30" s="46">
        <f>SUM(W11:W29)</f>
        <v>113.30583550000001</v>
      </c>
      <c r="X30" s="46">
        <f>SUM(X11:X29)</f>
        <v>488.54965472252513</v>
      </c>
      <c r="Y30" s="48"/>
      <c r="Z30" s="46">
        <f>SUM(Z11:Z29)</f>
        <v>39698.085634114585</v>
      </c>
      <c r="AA30" s="26"/>
      <c r="AB30" s="48"/>
      <c r="AC30" s="26"/>
      <c r="AD30" s="46">
        <f>SUM(AD11:AD29)</f>
        <v>39698.085634114585</v>
      </c>
      <c r="AE30" s="10"/>
      <c r="AF30" s="51"/>
    </row>
    <row r="31" spans="1:32" ht="15.75" customHeight="1" thickTop="1" x14ac:dyDescent="0.25">
      <c r="A31" s="10"/>
      <c r="B31" s="10"/>
      <c r="C31" s="16"/>
      <c r="D31" s="16"/>
      <c r="E31" s="10"/>
      <c r="F31" s="10"/>
      <c r="G31" s="10"/>
      <c r="H31" s="11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41"/>
      <c r="AE31" s="10"/>
      <c r="AF31" s="51"/>
    </row>
    <row r="32" spans="1:32" ht="15" hidden="1" customHeight="1" thickTop="1" x14ac:dyDescent="0.25">
      <c r="A32" s="19" t="s">
        <v>31</v>
      </c>
      <c r="B32" s="52" t="s">
        <v>32</v>
      </c>
      <c r="C32" s="53"/>
      <c r="D32" s="53"/>
      <c r="E32" s="54"/>
      <c r="F32" s="10"/>
      <c r="G32" s="142" t="s">
        <v>33</v>
      </c>
      <c r="H32" s="114"/>
      <c r="I32" s="10"/>
      <c r="J32" s="10"/>
      <c r="K32" s="10"/>
      <c r="L32" s="55"/>
      <c r="M32" s="56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ht="15" hidden="1" customHeight="1" x14ac:dyDescent="0.25">
      <c r="A33" s="19"/>
      <c r="B33" s="57"/>
      <c r="C33" s="58" t="s">
        <v>34</v>
      </c>
      <c r="D33" s="59" t="s">
        <v>35</v>
      </c>
      <c r="E33" s="60"/>
      <c r="F33" s="10"/>
      <c r="G33" s="143"/>
      <c r="H33" s="114"/>
      <c r="I33" s="61"/>
      <c r="J33" s="61"/>
      <c r="K33" s="62"/>
      <c r="L33" s="61"/>
      <c r="M33" s="10"/>
      <c r="N33" s="10"/>
      <c r="O33" s="10"/>
      <c r="P33" s="63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15" hidden="1" customHeight="1" x14ac:dyDescent="0.25">
      <c r="A34" s="10"/>
      <c r="B34" s="64"/>
      <c r="C34" s="65">
        <v>16</v>
      </c>
      <c r="D34" s="65" t="s">
        <v>36</v>
      </c>
      <c r="E34" s="66"/>
      <c r="F34" s="10"/>
      <c r="G34" s="40">
        <v>0</v>
      </c>
      <c r="H34" s="41"/>
      <c r="I34" s="1"/>
      <c r="J34" s="64"/>
      <c r="K34" s="64"/>
      <c r="L34" s="10"/>
      <c r="M34" s="6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68"/>
      <c r="AA34" s="10"/>
      <c r="AB34" s="10"/>
      <c r="AC34" s="10"/>
      <c r="AD34" s="10"/>
      <c r="AE34" s="10"/>
    </row>
    <row r="35" spans="1:31" ht="18" hidden="1" x14ac:dyDescent="0.25">
      <c r="A35" s="10"/>
      <c r="B35" s="10" t="s">
        <v>37</v>
      </c>
      <c r="C35" s="16"/>
      <c r="D35" s="16"/>
      <c r="E35" s="69"/>
      <c r="F35" s="10"/>
      <c r="G35" s="47">
        <f>SUM(G34:G34)</f>
        <v>0</v>
      </c>
      <c r="H35" s="47"/>
      <c r="I35" s="61"/>
      <c r="J35" s="10"/>
      <c r="K35" s="1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10"/>
    </row>
    <row r="36" spans="1:31" ht="18" x14ac:dyDescent="0.25">
      <c r="A36" s="10"/>
      <c r="B36" s="10"/>
      <c r="C36" s="16"/>
      <c r="D36" s="16"/>
      <c r="E36" s="69"/>
      <c r="F36" s="10"/>
      <c r="G36" s="47"/>
      <c r="H36" s="47"/>
      <c r="I36" s="61"/>
      <c r="J36" s="10"/>
      <c r="K36" s="1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0"/>
    </row>
    <row r="37" spans="1:31" ht="16.5" hidden="1" customHeight="1" x14ac:dyDescent="0.25">
      <c r="A37" s="19" t="s">
        <v>31</v>
      </c>
      <c r="B37" s="71" t="s">
        <v>32</v>
      </c>
      <c r="C37" s="72"/>
      <c r="D37" s="73"/>
      <c r="E37" s="74"/>
      <c r="F37" s="10"/>
      <c r="G37" s="134" t="s">
        <v>33</v>
      </c>
      <c r="H37" s="117"/>
      <c r="I37" s="61"/>
      <c r="J37" s="3"/>
      <c r="K37" s="3"/>
      <c r="L37" s="55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10"/>
    </row>
    <row r="38" spans="1:31" ht="16.5" hidden="1" customHeight="1" x14ac:dyDescent="0.25">
      <c r="A38" s="10"/>
      <c r="B38" s="147" t="s">
        <v>81</v>
      </c>
      <c r="C38" s="148"/>
      <c r="D38" s="148"/>
      <c r="E38" s="149"/>
      <c r="F38" s="10"/>
      <c r="G38" s="77">
        <v>0</v>
      </c>
      <c r="H38" s="115"/>
      <c r="I38" s="61"/>
      <c r="J38" s="10"/>
      <c r="K38" s="1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10"/>
    </row>
    <row r="39" spans="1:31" ht="16.5" hidden="1" customHeight="1" x14ac:dyDescent="0.25">
      <c r="A39" s="10"/>
      <c r="B39" s="10"/>
      <c r="C39" s="16"/>
      <c r="D39" s="16"/>
      <c r="E39" s="69"/>
      <c r="F39" s="10"/>
      <c r="G39" s="47">
        <f>SUM(G38:G38)</f>
        <v>0</v>
      </c>
      <c r="H39" s="47"/>
      <c r="I39" s="61"/>
      <c r="J39" s="10"/>
      <c r="K39" s="1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10"/>
    </row>
    <row r="40" spans="1:31" ht="16.5" hidden="1" customHeight="1" x14ac:dyDescent="0.25">
      <c r="A40" s="10"/>
      <c r="B40" s="10"/>
      <c r="C40" s="16"/>
      <c r="D40" s="16"/>
      <c r="E40" s="69"/>
      <c r="F40" s="10"/>
      <c r="G40" s="81"/>
      <c r="H40" s="81"/>
      <c r="I40" s="61"/>
      <c r="J40" s="26"/>
      <c r="K40" s="26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10"/>
    </row>
    <row r="41" spans="1:31" ht="16.5" hidden="1" customHeight="1" x14ac:dyDescent="0.25">
      <c r="A41" s="19" t="s">
        <v>31</v>
      </c>
      <c r="B41" s="82" t="s">
        <v>40</v>
      </c>
      <c r="C41" s="72"/>
      <c r="D41" s="72"/>
      <c r="E41" s="74"/>
      <c r="F41" s="10"/>
      <c r="G41" s="75" t="s">
        <v>33</v>
      </c>
      <c r="H41" s="117"/>
      <c r="I41" s="61"/>
      <c r="J41" s="83"/>
      <c r="K41" s="83"/>
      <c r="L41" s="55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10"/>
    </row>
    <row r="42" spans="1:31" ht="16.5" hidden="1" customHeight="1" x14ac:dyDescent="0.25">
      <c r="A42" s="19"/>
      <c r="B42" s="84"/>
      <c r="C42" s="85">
        <v>1</v>
      </c>
      <c r="D42" s="144" t="s">
        <v>41</v>
      </c>
      <c r="E42" s="145"/>
      <c r="F42" s="10"/>
      <c r="G42" s="77">
        <v>0</v>
      </c>
      <c r="H42" s="115"/>
      <c r="I42" s="61"/>
      <c r="J42" s="83"/>
      <c r="K42" s="83"/>
      <c r="L42" s="55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10"/>
    </row>
    <row r="43" spans="1:31" ht="16.5" hidden="1" customHeight="1" x14ac:dyDescent="0.25">
      <c r="A43" s="19"/>
      <c r="B43" s="84"/>
      <c r="C43" s="86">
        <v>1</v>
      </c>
      <c r="D43" s="146" t="s">
        <v>42</v>
      </c>
      <c r="E43" s="146"/>
      <c r="F43" s="10"/>
      <c r="G43" s="77">
        <v>0</v>
      </c>
      <c r="H43" s="115"/>
      <c r="I43" s="87"/>
      <c r="J43" s="83"/>
      <c r="K43" s="83"/>
      <c r="L43" s="55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10"/>
    </row>
    <row r="44" spans="1:31" ht="15.75" hidden="1" customHeight="1" x14ac:dyDescent="0.25">
      <c r="A44" s="19"/>
      <c r="B44" s="84"/>
      <c r="C44" s="16"/>
      <c r="D44" s="16"/>
      <c r="E44" s="84"/>
      <c r="F44" s="10"/>
      <c r="G44" s="47">
        <f>SUM(G42:G43)</f>
        <v>0</v>
      </c>
      <c r="H44" s="47"/>
      <c r="I44" s="88"/>
      <c r="J44" s="83">
        <f>G44/G50</f>
        <v>0</v>
      </c>
      <c r="K44" s="83"/>
      <c r="L44" s="55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10"/>
    </row>
    <row r="45" spans="1:31" ht="15.75" customHeight="1" x14ac:dyDescent="0.25">
      <c r="A45" s="19"/>
      <c r="B45" s="89"/>
      <c r="C45" s="16"/>
      <c r="D45" s="16"/>
      <c r="E45" s="89"/>
      <c r="F45" s="10"/>
      <c r="G45" s="81"/>
      <c r="H45" s="81"/>
      <c r="I45" s="88"/>
      <c r="J45" s="83"/>
      <c r="K45" s="83"/>
      <c r="L45" s="55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10"/>
    </row>
    <row r="46" spans="1:31" ht="15.75" customHeight="1" x14ac:dyDescent="0.25">
      <c r="A46" s="19" t="s">
        <v>31</v>
      </c>
      <c r="B46" s="90" t="s">
        <v>44</v>
      </c>
      <c r="C46" s="91"/>
      <c r="D46" s="92"/>
      <c r="E46" s="93"/>
      <c r="F46" s="10"/>
      <c r="G46" s="94">
        <f>AD30/0.9*0.1</f>
        <v>4410.8984037905093</v>
      </c>
      <c r="H46" s="81"/>
      <c r="I46" s="88">
        <v>7.0000000000000007E-2</v>
      </c>
      <c r="J46" s="83">
        <f>G46/G50</f>
        <v>9.9999999999999992E-2</v>
      </c>
      <c r="K46" s="83"/>
      <c r="L46" s="55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10"/>
    </row>
    <row r="47" spans="1:31" ht="18" x14ac:dyDescent="0.25">
      <c r="A47" s="10"/>
      <c r="B47" s="10"/>
      <c r="C47" s="16"/>
      <c r="D47" s="16"/>
      <c r="E47" s="10"/>
      <c r="F47" s="10"/>
      <c r="G47" s="41"/>
      <c r="H47" s="41"/>
      <c r="I47" s="95"/>
      <c r="J47" s="83"/>
      <c r="K47" s="83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10"/>
    </row>
    <row r="48" spans="1:31" ht="18" x14ac:dyDescent="0.25">
      <c r="A48" s="10"/>
      <c r="B48" s="10"/>
      <c r="C48" s="16"/>
      <c r="D48" s="16"/>
      <c r="E48" s="10"/>
      <c r="F48" s="10"/>
      <c r="G48" s="41"/>
      <c r="H48" s="41"/>
      <c r="I48" s="95"/>
      <c r="J48" s="83"/>
      <c r="K48" s="83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10"/>
    </row>
    <row r="49" spans="1:39" ht="22.5" customHeight="1" x14ac:dyDescent="0.25">
      <c r="A49" s="10"/>
      <c r="B49" s="10"/>
      <c r="C49" s="16"/>
      <c r="D49" s="16"/>
      <c r="E49" s="10"/>
      <c r="F49" s="10"/>
      <c r="G49" s="41"/>
      <c r="H49" s="41"/>
      <c r="I49" s="95"/>
      <c r="J49" s="83"/>
      <c r="K49" s="83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10"/>
    </row>
    <row r="50" spans="1:39" ht="20.25" customHeight="1" x14ac:dyDescent="0.25">
      <c r="A50" s="10"/>
      <c r="B50" s="156" t="s">
        <v>45</v>
      </c>
      <c r="C50" s="156"/>
      <c r="D50" s="156"/>
      <c r="E50" s="156"/>
      <c r="F50" s="2"/>
      <c r="G50" s="96">
        <f>SUM(AD30,G46)</f>
        <v>44108.984037905095</v>
      </c>
      <c r="H50" s="116"/>
      <c r="I50" s="10"/>
      <c r="J50" s="113"/>
      <c r="K50" s="113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16"/>
    </row>
    <row r="51" spans="1:39" ht="18.75" thickBot="1" x14ac:dyDescent="0.3">
      <c r="A51" s="10"/>
      <c r="B51" s="10"/>
      <c r="C51" s="16"/>
      <c r="D51" s="16"/>
      <c r="E51" s="10"/>
      <c r="F51" s="10"/>
      <c r="G51" s="10"/>
      <c r="H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 spans="1:39" ht="18" customHeight="1" thickBot="1" x14ac:dyDescent="0.3">
      <c r="A52" s="10"/>
      <c r="B52" s="157" t="s">
        <v>46</v>
      </c>
      <c r="C52" s="158"/>
      <c r="D52" s="158"/>
      <c r="E52" s="158"/>
      <c r="F52" s="158"/>
      <c r="G52" s="159"/>
      <c r="H52" s="11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spans="1:39" ht="18" x14ac:dyDescent="0.25">
      <c r="A53" s="10"/>
      <c r="B53" s="150" t="s">
        <v>47</v>
      </c>
      <c r="C53" s="151"/>
      <c r="D53" s="151"/>
      <c r="E53" s="151"/>
      <c r="F53" s="151"/>
      <c r="G53" s="152"/>
      <c r="H53" s="6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spans="1:39" ht="18" x14ac:dyDescent="0.25">
      <c r="A54" s="10"/>
      <c r="B54" s="102" t="s">
        <v>49</v>
      </c>
      <c r="C54" s="16"/>
      <c r="D54" s="16"/>
      <c r="E54" s="10"/>
      <c r="F54" s="10"/>
      <c r="G54" s="103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9" ht="18.75" thickBot="1" x14ac:dyDescent="0.3">
      <c r="A55" s="10"/>
      <c r="B55" s="104" t="s">
        <v>50</v>
      </c>
      <c r="C55" s="105"/>
      <c r="D55" s="105"/>
      <c r="E55" s="106"/>
      <c r="F55" s="106"/>
      <c r="G55" s="107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9" ht="18" x14ac:dyDescent="0.25">
      <c r="A56" s="10"/>
      <c r="B56" s="10"/>
      <c r="C56" s="16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9" ht="18" x14ac:dyDescent="0.25">
      <c r="A57" s="10"/>
      <c r="B57" s="10"/>
      <c r="C57" s="16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spans="1:39" ht="18" x14ac:dyDescent="0.25">
      <c r="A58" s="10"/>
      <c r="B58" s="10"/>
      <c r="C58" s="16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spans="1:39" ht="18" x14ac:dyDescent="0.25">
      <c r="A59" s="10"/>
      <c r="B59" s="10"/>
      <c r="C59" s="16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spans="1:39" ht="18" x14ac:dyDescent="0.25">
      <c r="A60" s="10"/>
      <c r="B60" s="10"/>
      <c r="C60" s="16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1:39" ht="18" x14ac:dyDescent="0.25">
      <c r="A61" s="10"/>
      <c r="B61" s="10"/>
      <c r="C61" s="16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spans="1:39" ht="6.75" customHeight="1" x14ac:dyDescent="0.25">
      <c r="A62" s="10"/>
      <c r="B62" s="10"/>
      <c r="C62" s="16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spans="1:39" ht="18" x14ac:dyDescent="0.25">
      <c r="A63" s="10"/>
      <c r="B63" s="10"/>
      <c r="C63" s="16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1:39" ht="18" x14ac:dyDescent="0.25">
      <c r="A64" s="10"/>
      <c r="B64" s="10"/>
      <c r="C64" s="16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spans="1:39" ht="18" x14ac:dyDescent="0.25">
      <c r="A65" s="10"/>
      <c r="B65" s="10"/>
      <c r="C65" s="16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spans="1:39" ht="18" x14ac:dyDescent="0.25">
      <c r="A66" s="10"/>
      <c r="B66" s="10"/>
      <c r="C66" s="16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spans="1:39" ht="14.25" customHeight="1" x14ac:dyDescent="0.25">
      <c r="A67" s="10"/>
      <c r="B67" s="10"/>
      <c r="C67" s="16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spans="1:39" ht="10.5" customHeight="1" x14ac:dyDescent="0.25">
      <c r="A68" s="10"/>
      <c r="B68" s="10"/>
      <c r="C68" s="16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spans="1:39" ht="18" x14ac:dyDescent="0.25">
      <c r="A69" s="10"/>
      <c r="B69" s="10"/>
      <c r="C69" s="16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spans="1:39" ht="18" x14ac:dyDescent="0.25">
      <c r="A70" s="10"/>
      <c r="B70" s="10"/>
      <c r="C70" s="16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spans="1:39" ht="18" x14ac:dyDescent="0.25">
      <c r="A71" s="10"/>
      <c r="B71" s="10"/>
      <c r="C71" s="16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spans="1:39" ht="18" x14ac:dyDescent="0.25">
      <c r="A72" s="10"/>
      <c r="B72" s="10"/>
      <c r="C72" s="16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spans="1:39" ht="7.5" customHeight="1" x14ac:dyDescent="0.25">
      <c r="A73" s="10"/>
      <c r="B73" s="109"/>
      <c r="C73" s="16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1:39" ht="51" customHeight="1" x14ac:dyDescent="0.25">
      <c r="A74" s="10"/>
      <c r="B74" s="10"/>
      <c r="C74" s="16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1:39" ht="165.75" customHeight="1" x14ac:dyDescent="0.25">
      <c r="A75" s="10"/>
      <c r="B75" s="10"/>
      <c r="C75" s="16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1:39" ht="18" x14ac:dyDescent="0.25">
      <c r="A76" s="10"/>
      <c r="B76" s="10"/>
      <c r="C76" s="16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1:39" ht="18" x14ac:dyDescent="0.25">
      <c r="A77" s="10"/>
      <c r="B77" s="10"/>
      <c r="C77" s="16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1:39" ht="18" x14ac:dyDescent="0.25">
      <c r="A78" s="10"/>
      <c r="B78" s="10"/>
      <c r="C78" s="16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1:39" ht="18" x14ac:dyDescent="0.25">
      <c r="A79" s="10"/>
      <c r="B79" s="10"/>
      <c r="C79" s="16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1:39" ht="18" x14ac:dyDescent="0.25">
      <c r="A80" s="10"/>
      <c r="B80" s="10"/>
      <c r="C80" s="16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spans="1:39" ht="18" x14ac:dyDescent="0.25">
      <c r="A81" s="10"/>
      <c r="B81" s="10"/>
      <c r="C81" s="16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spans="1:39" ht="18" x14ac:dyDescent="0.25">
      <c r="A82" s="10"/>
      <c r="B82" s="10"/>
      <c r="C82" s="16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 spans="1:39" ht="18" x14ac:dyDescent="0.25">
      <c r="A83" s="10"/>
      <c r="B83" s="10"/>
      <c r="C83" s="16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 spans="1:39" ht="18" x14ac:dyDescent="0.25">
      <c r="A84" s="10"/>
      <c r="B84" s="10"/>
      <c r="C84" s="16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 spans="1:39" ht="18" x14ac:dyDescent="0.25">
      <c r="A85" s="10"/>
      <c r="B85" s="10"/>
      <c r="C85" s="16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 spans="1:39" ht="18" x14ac:dyDescent="0.25">
      <c r="A86" s="10"/>
      <c r="B86" s="10"/>
      <c r="C86" s="16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 spans="1:39" ht="187.5" customHeight="1" x14ac:dyDescent="0.25">
      <c r="A87" s="10"/>
      <c r="B87" s="10"/>
      <c r="C87" s="16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 spans="1:39" ht="18" x14ac:dyDescent="0.25">
      <c r="A88" s="10"/>
      <c r="B88" s="10"/>
      <c r="C88" s="16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 spans="1:39" ht="18" x14ac:dyDescent="0.25">
      <c r="A89" s="10"/>
      <c r="B89" s="10"/>
      <c r="C89" s="16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spans="1:39" ht="18" x14ac:dyDescent="0.25">
      <c r="A90" s="10"/>
      <c r="B90" s="10"/>
      <c r="C90" s="16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 spans="1:39" ht="139.5" customHeight="1" x14ac:dyDescent="0.25">
      <c r="A91" s="10"/>
      <c r="B91" s="10"/>
      <c r="C91" s="16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spans="1:39" ht="18" x14ac:dyDescent="0.25">
      <c r="A92" s="10"/>
      <c r="B92" s="10"/>
      <c r="C92" s="16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 spans="1:39" ht="18" x14ac:dyDescent="0.25">
      <c r="A93" s="10"/>
      <c r="B93" s="10"/>
      <c r="C93" s="16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 spans="1:39" ht="18" x14ac:dyDescent="0.25">
      <c r="A94" s="10"/>
      <c r="B94" s="10"/>
      <c r="C94" s="16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 spans="1:39" ht="18" x14ac:dyDescent="0.25">
      <c r="A95" s="10"/>
      <c r="B95" s="10"/>
      <c r="C95" s="16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 spans="1:39" ht="18" x14ac:dyDescent="0.25">
      <c r="A96" s="10"/>
      <c r="B96" s="10"/>
      <c r="C96" s="16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 spans="1:39" ht="18" x14ac:dyDescent="0.25">
      <c r="A97" s="10"/>
      <c r="B97" s="10"/>
      <c r="C97" s="16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 spans="1:39" ht="18" x14ac:dyDescent="0.25">
      <c r="A98" s="10"/>
      <c r="B98" s="10"/>
      <c r="C98" s="16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 spans="1:39" ht="18" x14ac:dyDescent="0.25">
      <c r="A99" s="10"/>
      <c r="B99" s="10"/>
      <c r="C99" s="16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 spans="1:39" ht="18" x14ac:dyDescent="0.25">
      <c r="A100" s="10"/>
      <c r="B100" s="10"/>
      <c r="C100" s="16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 spans="1:39" ht="18" x14ac:dyDescent="0.25">
      <c r="A101" s="10"/>
      <c r="B101" s="10"/>
      <c r="C101" s="16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 spans="1:39" ht="18" x14ac:dyDescent="0.25">
      <c r="A102" s="10"/>
      <c r="B102" s="10"/>
      <c r="C102" s="16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 spans="1:39" ht="18" x14ac:dyDescent="0.25">
      <c r="A103" s="10"/>
      <c r="B103" s="10"/>
      <c r="C103" s="16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 spans="1:39" ht="18" x14ac:dyDescent="0.25">
      <c r="A104" s="10"/>
      <c r="B104" s="10"/>
      <c r="C104" s="16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 spans="1:39" ht="18" x14ac:dyDescent="0.25">
      <c r="A105" s="10"/>
      <c r="B105" s="10"/>
      <c r="C105" s="16"/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 spans="1:39" ht="18" x14ac:dyDescent="0.25">
      <c r="A106" s="10"/>
      <c r="B106" s="10"/>
      <c r="C106" s="16"/>
      <c r="D106" s="16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 spans="1:39" ht="18" x14ac:dyDescent="0.25">
      <c r="A107" s="10"/>
      <c r="B107" s="10"/>
      <c r="C107" s="16"/>
      <c r="D107" s="16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 spans="1:39" ht="18" x14ac:dyDescent="0.25">
      <c r="A108" s="10"/>
      <c r="B108" s="10"/>
      <c r="C108" s="16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 spans="1:39" ht="18" x14ac:dyDescent="0.25">
      <c r="A109" s="10"/>
      <c r="B109" s="10"/>
      <c r="C109" s="16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 spans="1:39" ht="18" x14ac:dyDescent="0.25">
      <c r="A110" s="10"/>
      <c r="B110" s="10"/>
      <c r="C110" s="16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 spans="1:39" ht="18" x14ac:dyDescent="0.25">
      <c r="A111" s="10"/>
      <c r="B111" s="10"/>
      <c r="C111" s="16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 spans="1:39" ht="18" x14ac:dyDescent="0.25">
      <c r="A112" s="10"/>
      <c r="B112" s="10"/>
      <c r="C112" s="16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 spans="1:39" ht="18" x14ac:dyDescent="0.25">
      <c r="A113" s="10"/>
      <c r="B113" s="10"/>
      <c r="C113" s="16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 spans="1:39" ht="23.25" customHeight="1" x14ac:dyDescent="0.25">
      <c r="A114" s="10"/>
      <c r="B114" s="10"/>
      <c r="C114" s="16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 spans="1:39" ht="18" x14ac:dyDescent="0.25">
      <c r="A115" s="10"/>
      <c r="B115" s="10"/>
      <c r="C115" s="16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 spans="1:39" ht="18" x14ac:dyDescent="0.25">
      <c r="A116" s="10"/>
      <c r="B116" s="10"/>
      <c r="C116" s="16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 spans="1:39" ht="18" x14ac:dyDescent="0.25">
      <c r="A117" s="10"/>
      <c r="B117" s="10"/>
      <c r="C117" s="16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 spans="1:39" ht="18" x14ac:dyDescent="0.25">
      <c r="A118" s="10"/>
      <c r="B118" s="10"/>
      <c r="C118" s="16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</row>
    <row r="119" spans="1:39" ht="18" x14ac:dyDescent="0.25">
      <c r="A119" s="10"/>
      <c r="B119" s="10"/>
      <c r="C119" s="16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 spans="1:39" ht="18" x14ac:dyDescent="0.25">
      <c r="A120" s="10"/>
      <c r="B120" s="69"/>
      <c r="C120" s="69"/>
      <c r="D120" s="69"/>
      <c r="E120" s="69"/>
      <c r="F120" s="69"/>
      <c r="G120" s="69"/>
      <c r="H120" s="69"/>
      <c r="I120" s="69"/>
      <c r="J120" s="69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 spans="1:39" ht="18" x14ac:dyDescent="0.25">
      <c r="A121" s="10"/>
      <c r="B121" s="69"/>
      <c r="C121" s="69"/>
      <c r="D121" s="69"/>
      <c r="E121" s="69"/>
      <c r="F121" s="69"/>
      <c r="G121" s="69"/>
      <c r="H121" s="69"/>
      <c r="I121" s="69"/>
      <c r="J121" s="69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 spans="1:39" ht="18" x14ac:dyDescent="0.25">
      <c r="A122" s="10"/>
      <c r="B122" s="10"/>
      <c r="C122" s="16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 spans="1:39" ht="18" x14ac:dyDescent="0.25">
      <c r="A123" s="10"/>
      <c r="B123" s="10"/>
      <c r="C123" s="16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 spans="1:39" ht="18" x14ac:dyDescent="0.25">
      <c r="A124" s="10"/>
      <c r="B124" s="10"/>
      <c r="C124" s="16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 spans="1:39" ht="18" x14ac:dyDescent="0.25">
      <c r="A125" s="10"/>
      <c r="B125" s="10"/>
      <c r="C125" s="16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 spans="1:39" ht="18" x14ac:dyDescent="0.25">
      <c r="A126" s="10"/>
      <c r="B126" s="10"/>
      <c r="C126" s="16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</row>
    <row r="127" spans="1:39" ht="18" x14ac:dyDescent="0.25">
      <c r="A127" s="10"/>
      <c r="B127" s="10"/>
      <c r="C127" s="16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 spans="1:39" ht="18" x14ac:dyDescent="0.25">
      <c r="A128" s="10"/>
      <c r="B128" s="10"/>
      <c r="C128" s="16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 spans="1:39" ht="18" x14ac:dyDescent="0.25">
      <c r="A129" s="10"/>
      <c r="B129" s="10"/>
      <c r="C129" s="16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 spans="1:39" ht="18" x14ac:dyDescent="0.25">
      <c r="A130" s="10"/>
      <c r="B130" s="10"/>
      <c r="C130" s="16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 spans="1:39" ht="18" x14ac:dyDescent="0.25">
      <c r="A131" s="10"/>
      <c r="B131" s="10"/>
      <c r="C131" s="16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 spans="1:39" ht="18" x14ac:dyDescent="0.25">
      <c r="A132" s="10"/>
      <c r="B132" s="10"/>
      <c r="C132" s="16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 spans="1:39" ht="18" x14ac:dyDescent="0.25">
      <c r="A133" s="10"/>
      <c r="B133" s="10"/>
      <c r="C133" s="16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 spans="1:39" ht="18" x14ac:dyDescent="0.25">
      <c r="A134" s="10"/>
      <c r="B134" s="10"/>
      <c r="C134" s="16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 spans="1:39" ht="18" x14ac:dyDescent="0.25">
      <c r="A135" s="10"/>
      <c r="B135" s="10"/>
      <c r="C135" s="16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 spans="1:39" ht="18" x14ac:dyDescent="0.25">
      <c r="A136" s="10"/>
      <c r="B136" s="10"/>
      <c r="C136" s="16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 spans="1:39" ht="18" x14ac:dyDescent="0.25">
      <c r="A137" s="10"/>
      <c r="B137" s="10"/>
      <c r="C137" s="16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 spans="1:39" ht="18" x14ac:dyDescent="0.25">
      <c r="A138" s="10"/>
      <c r="B138" s="10"/>
      <c r="C138" s="16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 spans="1:39" ht="18" x14ac:dyDescent="0.25">
      <c r="A139" s="10"/>
      <c r="B139" s="10"/>
      <c r="C139" s="16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 spans="1:39" ht="18" x14ac:dyDescent="0.25">
      <c r="A140" s="10"/>
      <c r="B140" s="10"/>
      <c r="C140" s="16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 spans="1:39" ht="18" x14ac:dyDescent="0.25">
      <c r="A141" s="10"/>
      <c r="B141" s="10"/>
      <c r="C141" s="16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 spans="1:39" ht="18" x14ac:dyDescent="0.25">
      <c r="A142" s="10"/>
      <c r="B142" s="10"/>
      <c r="C142" s="16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 spans="1:39" ht="18" x14ac:dyDescent="0.25">
      <c r="A143" s="10"/>
      <c r="B143" s="10"/>
      <c r="C143" s="16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 spans="1:39" ht="18" x14ac:dyDescent="0.25">
      <c r="A144" s="10"/>
      <c r="B144" s="10"/>
      <c r="C144" s="16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 spans="1:39" ht="18" x14ac:dyDescent="0.25">
      <c r="A145" s="10"/>
      <c r="B145" s="10"/>
      <c r="C145" s="16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 spans="1:39" ht="18" x14ac:dyDescent="0.25">
      <c r="A146" s="10"/>
      <c r="B146" s="10"/>
      <c r="C146" s="16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 spans="1:39" ht="18" x14ac:dyDescent="0.25">
      <c r="A147" s="10"/>
      <c r="B147" s="10"/>
      <c r="C147" s="16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 spans="1:39" ht="18" x14ac:dyDescent="0.25">
      <c r="A148" s="10"/>
      <c r="B148" s="10"/>
      <c r="C148" s="16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 spans="1:39" ht="18" x14ac:dyDescent="0.25">
      <c r="A149" s="10"/>
      <c r="B149" s="10"/>
      <c r="C149" s="16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 spans="1:39" ht="18" x14ac:dyDescent="0.25">
      <c r="A150" s="10"/>
      <c r="B150" s="10"/>
      <c r="C150" s="16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 spans="1:39" ht="18" x14ac:dyDescent="0.25">
      <c r="A151" s="10"/>
      <c r="B151" s="10"/>
      <c r="C151" s="16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 spans="1:39" ht="18" x14ac:dyDescent="0.25">
      <c r="A152" s="10"/>
      <c r="B152" s="10"/>
      <c r="C152" s="16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 spans="1:39" ht="18" x14ac:dyDescent="0.25">
      <c r="A153" s="10"/>
      <c r="B153" s="10"/>
      <c r="C153" s="16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 spans="1:39" ht="18" x14ac:dyDescent="0.25">
      <c r="A154" s="10"/>
      <c r="B154" s="10"/>
      <c r="C154" s="16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 spans="1:39" ht="18" x14ac:dyDescent="0.25">
      <c r="A155" s="10"/>
      <c r="B155" s="10"/>
      <c r="C155" s="16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 spans="1:39" ht="18" x14ac:dyDescent="0.25">
      <c r="A156" s="10"/>
      <c r="B156" s="10"/>
      <c r="C156" s="16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 spans="1:39" ht="18" x14ac:dyDescent="0.25">
      <c r="A157" s="10"/>
      <c r="B157" s="10"/>
      <c r="C157" s="16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 spans="1:39" ht="18" x14ac:dyDescent="0.25">
      <c r="A158" s="10"/>
      <c r="B158" s="10"/>
      <c r="C158" s="16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 spans="1:39" ht="18" x14ac:dyDescent="0.25">
      <c r="A159" s="10"/>
      <c r="B159" s="10"/>
      <c r="C159" s="16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 spans="1:39" ht="18" x14ac:dyDescent="0.25">
      <c r="A160" s="10"/>
      <c r="B160" s="10"/>
      <c r="C160" s="16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 spans="1:39" ht="18" x14ac:dyDescent="0.25">
      <c r="A161" s="10"/>
      <c r="B161" s="10"/>
      <c r="C161" s="16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 spans="1:39" ht="18" x14ac:dyDescent="0.25">
      <c r="A162" s="10"/>
      <c r="B162" s="10"/>
      <c r="C162" s="16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 spans="1:39" ht="18" x14ac:dyDescent="0.25">
      <c r="A163" s="10"/>
      <c r="B163" s="10"/>
      <c r="C163" s="16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 spans="1:39" ht="18" x14ac:dyDescent="0.25">
      <c r="A164" s="10"/>
      <c r="B164" s="10"/>
      <c r="C164" s="16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 spans="1:39" ht="18" x14ac:dyDescent="0.25">
      <c r="A165" s="10"/>
      <c r="B165" s="10"/>
      <c r="C165" s="16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 spans="1:39" ht="18" x14ac:dyDescent="0.25">
      <c r="A166" s="10"/>
      <c r="B166" s="10"/>
      <c r="C166" s="16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</row>
    <row r="167" spans="1:39" ht="18" x14ac:dyDescent="0.25">
      <c r="A167" s="10"/>
      <c r="B167" s="10"/>
      <c r="C167" s="16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 spans="1:39" ht="18" x14ac:dyDescent="0.25">
      <c r="A168" s="10"/>
      <c r="B168" s="10"/>
      <c r="C168" s="16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 spans="1:39" ht="18" x14ac:dyDescent="0.25">
      <c r="A169" s="10"/>
      <c r="B169" s="10"/>
      <c r="C169" s="16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 spans="1:39" ht="18" x14ac:dyDescent="0.25">
      <c r="A170" s="10"/>
      <c r="B170" s="10"/>
      <c r="C170" s="16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 spans="1:39" ht="18" x14ac:dyDescent="0.25">
      <c r="A171" s="10"/>
      <c r="B171" s="10"/>
      <c r="C171" s="16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 spans="1:39" ht="18" x14ac:dyDescent="0.25">
      <c r="A172" s="10"/>
      <c r="B172" s="10"/>
      <c r="C172" s="16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 spans="1:39" ht="18" x14ac:dyDescent="0.25">
      <c r="A173" s="10"/>
      <c r="B173" s="10"/>
      <c r="C173" s="16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 spans="1:39" ht="18" x14ac:dyDescent="0.25">
      <c r="A174" s="10"/>
      <c r="B174" s="10"/>
      <c r="C174" s="16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 spans="1:39" ht="18" x14ac:dyDescent="0.25">
      <c r="A175" s="10"/>
      <c r="B175" s="10"/>
      <c r="C175" s="16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 spans="1:39" ht="18" x14ac:dyDescent="0.25">
      <c r="A176" s="10"/>
      <c r="B176" s="10"/>
      <c r="C176" s="16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 spans="1:39" ht="18" x14ac:dyDescent="0.25">
      <c r="A177" s="10"/>
      <c r="B177" s="10"/>
      <c r="C177" s="16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 spans="1:39" ht="18" x14ac:dyDescent="0.25">
      <c r="A178" s="10"/>
      <c r="B178" s="10"/>
      <c r="C178" s="16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 spans="1:39" ht="18" x14ac:dyDescent="0.25">
      <c r="A179" s="10"/>
      <c r="B179" s="10"/>
      <c r="C179" s="16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 spans="1:39" ht="18" x14ac:dyDescent="0.25">
      <c r="A180" s="10"/>
      <c r="B180" s="10"/>
      <c r="C180" s="16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</row>
    <row r="181" spans="1:39" ht="18" x14ac:dyDescent="0.25">
      <c r="A181" s="10"/>
      <c r="B181" s="10"/>
      <c r="C181" s="16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</row>
    <row r="182" spans="1:39" ht="18" x14ac:dyDescent="0.25">
      <c r="A182" s="10"/>
      <c r="B182" s="10"/>
      <c r="C182" s="16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</row>
    <row r="183" spans="1:39" ht="18" x14ac:dyDescent="0.25">
      <c r="A183" s="10"/>
      <c r="B183" s="10"/>
      <c r="C183" s="16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</row>
    <row r="184" spans="1:39" ht="18" x14ac:dyDescent="0.25">
      <c r="A184" s="10"/>
      <c r="B184" s="10"/>
      <c r="C184" s="16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</row>
    <row r="185" spans="1:39" ht="18" x14ac:dyDescent="0.25">
      <c r="A185" s="10"/>
      <c r="B185" s="10"/>
      <c r="C185" s="16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</row>
    <row r="186" spans="1:39" ht="18" x14ac:dyDescent="0.25">
      <c r="A186" s="10"/>
      <c r="B186" s="10"/>
      <c r="C186" s="16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 spans="1:39" ht="18" x14ac:dyDescent="0.25">
      <c r="A187" s="10"/>
      <c r="B187" s="10"/>
      <c r="C187" s="16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 spans="1:39" ht="18" x14ac:dyDescent="0.25">
      <c r="A188" s="10"/>
      <c r="B188" s="10"/>
      <c r="C188" s="16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 spans="1:39" ht="18" x14ac:dyDescent="0.25">
      <c r="A189" s="10"/>
      <c r="B189" s="10"/>
      <c r="C189" s="16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</row>
    <row r="190" spans="1:39" ht="18" x14ac:dyDescent="0.25">
      <c r="A190" s="10"/>
      <c r="B190" s="10"/>
      <c r="C190" s="16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</row>
    <row r="191" spans="1:39" ht="18" x14ac:dyDescent="0.25">
      <c r="A191" s="10"/>
      <c r="B191" s="10"/>
      <c r="C191" s="16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</row>
    <row r="192" spans="1:39" ht="18" x14ac:dyDescent="0.25">
      <c r="A192" s="10"/>
      <c r="B192" s="10"/>
      <c r="C192" s="16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</row>
    <row r="193" spans="1:39" ht="18" x14ac:dyDescent="0.25">
      <c r="A193" s="10"/>
      <c r="B193" s="10"/>
      <c r="C193" s="16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</row>
    <row r="194" spans="1:39" ht="18" x14ac:dyDescent="0.25">
      <c r="A194" s="10"/>
      <c r="B194" s="10"/>
      <c r="C194" s="16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</row>
    <row r="195" spans="1:39" ht="18" x14ac:dyDescent="0.25">
      <c r="A195" s="10"/>
      <c r="B195" s="10"/>
      <c r="C195" s="16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</row>
    <row r="196" spans="1:39" ht="18" x14ac:dyDescent="0.25">
      <c r="A196" s="10"/>
      <c r="B196" s="10"/>
      <c r="C196" s="16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</row>
    <row r="197" spans="1:39" ht="18" x14ac:dyDescent="0.25">
      <c r="A197" s="10"/>
      <c r="B197" s="10"/>
      <c r="C197" s="16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</row>
    <row r="198" spans="1:39" ht="18" x14ac:dyDescent="0.25">
      <c r="A198" s="10"/>
      <c r="B198" s="10"/>
      <c r="C198" s="16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</row>
    <row r="199" spans="1:39" ht="18" x14ac:dyDescent="0.25">
      <c r="A199" s="10"/>
      <c r="B199" s="10"/>
      <c r="C199" s="16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 spans="1:39" ht="18" x14ac:dyDescent="0.25">
      <c r="A200" s="10"/>
      <c r="B200" s="10"/>
      <c r="C200" s="16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</row>
    <row r="201" spans="1:39" ht="18" x14ac:dyDescent="0.25">
      <c r="A201" s="10"/>
      <c r="B201" s="10"/>
      <c r="C201" s="16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</row>
    <row r="202" spans="1:39" ht="18" x14ac:dyDescent="0.25">
      <c r="A202" s="10"/>
      <c r="B202" s="10"/>
      <c r="C202" s="16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</row>
    <row r="203" spans="1:39" ht="18" x14ac:dyDescent="0.25">
      <c r="A203" s="10"/>
      <c r="B203" s="10"/>
      <c r="C203" s="16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</row>
    <row r="204" spans="1:39" ht="18" x14ac:dyDescent="0.25">
      <c r="A204" s="10"/>
      <c r="B204" s="10"/>
      <c r="C204" s="16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</row>
    <row r="205" spans="1:39" ht="18" x14ac:dyDescent="0.25">
      <c r="A205" s="10"/>
      <c r="B205" s="10"/>
      <c r="C205" s="16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</row>
    <row r="206" spans="1:39" ht="18" x14ac:dyDescent="0.25">
      <c r="A206" s="10"/>
      <c r="B206" s="10"/>
      <c r="C206" s="16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</row>
    <row r="207" spans="1:39" ht="18" x14ac:dyDescent="0.25">
      <c r="A207" s="10"/>
      <c r="B207" s="10"/>
      <c r="C207" s="16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</row>
    <row r="208" spans="1:39" ht="18" x14ac:dyDescent="0.25">
      <c r="A208" s="10"/>
      <c r="B208" s="10"/>
      <c r="C208" s="16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</row>
    <row r="209" spans="1:39" ht="18" x14ac:dyDescent="0.25">
      <c r="A209" s="10"/>
      <c r="B209" s="10"/>
      <c r="C209" s="16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</row>
    <row r="210" spans="1:39" ht="18" x14ac:dyDescent="0.25">
      <c r="A210" s="10"/>
      <c r="B210" s="10"/>
      <c r="C210" s="16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 spans="1:39" ht="18" x14ac:dyDescent="0.25">
      <c r="A211" s="10"/>
      <c r="B211" s="10"/>
      <c r="C211" s="16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 spans="1:39" ht="18" x14ac:dyDescent="0.25">
      <c r="A212" s="10"/>
      <c r="B212" s="10"/>
      <c r="C212" s="16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 spans="1:39" ht="18" x14ac:dyDescent="0.25">
      <c r="A213" s="10"/>
      <c r="B213" s="10"/>
      <c r="C213" s="16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 spans="1:39" ht="18" x14ac:dyDescent="0.25">
      <c r="A214" s="10"/>
      <c r="B214" s="10"/>
      <c r="C214" s="16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 spans="1:39" ht="18" x14ac:dyDescent="0.25">
      <c r="A215" s="10"/>
      <c r="B215" s="10"/>
      <c r="C215" s="16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</row>
    <row r="216" spans="1:39" ht="18" x14ac:dyDescent="0.25">
      <c r="A216" s="10"/>
      <c r="B216" s="10"/>
      <c r="C216" s="16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 spans="1:39" ht="18" x14ac:dyDescent="0.25">
      <c r="A217" s="10"/>
      <c r="B217" s="10"/>
      <c r="C217" s="16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</row>
    <row r="218" spans="1:39" ht="18" x14ac:dyDescent="0.25">
      <c r="A218" s="10"/>
      <c r="B218" s="10"/>
      <c r="C218" s="16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 spans="1:39" ht="18" x14ac:dyDescent="0.25">
      <c r="A219" s="10"/>
      <c r="B219" s="10"/>
      <c r="C219" s="16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</row>
    <row r="220" spans="1:39" ht="18" x14ac:dyDescent="0.25">
      <c r="A220" s="10"/>
      <c r="B220" s="10"/>
      <c r="C220" s="16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</row>
    <row r="221" spans="1:39" ht="18" x14ac:dyDescent="0.25">
      <c r="A221" s="10"/>
      <c r="B221" s="10"/>
      <c r="C221" s="16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 spans="1:39" ht="18" x14ac:dyDescent="0.25">
      <c r="A222" s="10"/>
      <c r="B222" s="10"/>
      <c r="C222" s="16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</row>
    <row r="223" spans="1:39" ht="18" x14ac:dyDescent="0.25">
      <c r="A223" s="10"/>
      <c r="B223" s="10"/>
      <c r="C223" s="16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</row>
    <row r="224" spans="1:39" ht="18" x14ac:dyDescent="0.25">
      <c r="A224" s="10"/>
      <c r="B224" s="10"/>
      <c r="C224" s="16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 spans="1:39" ht="18" x14ac:dyDescent="0.25">
      <c r="A225" s="10"/>
      <c r="B225" s="10"/>
      <c r="C225" s="16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 spans="1:39" ht="18" x14ac:dyDescent="0.25">
      <c r="A226" s="10"/>
      <c r="B226" s="10"/>
      <c r="C226" s="16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 spans="1:39" ht="18" x14ac:dyDescent="0.25">
      <c r="A227" s="10"/>
      <c r="B227" s="10"/>
      <c r="C227" s="16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 spans="1:39" ht="18" x14ac:dyDescent="0.25">
      <c r="A228" s="10"/>
      <c r="B228" s="10"/>
      <c r="C228" s="16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</row>
    <row r="229" spans="1:39" ht="18" x14ac:dyDescent="0.25">
      <c r="A229" s="10"/>
      <c r="B229" s="10"/>
      <c r="C229" s="16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</row>
    <row r="230" spans="1:39" ht="18" x14ac:dyDescent="0.25">
      <c r="A230" s="10"/>
      <c r="B230" s="10"/>
      <c r="C230" s="16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</row>
    <row r="231" spans="1:39" ht="18" x14ac:dyDescent="0.25">
      <c r="A231" s="10"/>
      <c r="B231" s="10"/>
      <c r="C231" s="16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</row>
    <row r="232" spans="1:39" ht="18" x14ac:dyDescent="0.25">
      <c r="A232" s="10"/>
      <c r="B232" s="10"/>
      <c r="C232" s="16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</row>
    <row r="233" spans="1:39" ht="18" x14ac:dyDescent="0.25">
      <c r="A233" s="10"/>
      <c r="B233" s="10"/>
      <c r="C233" s="16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 spans="1:39" ht="18" x14ac:dyDescent="0.25">
      <c r="A234" s="10"/>
      <c r="B234" s="10"/>
      <c r="C234" s="16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 spans="1:39" ht="18" x14ac:dyDescent="0.25">
      <c r="A235" s="10"/>
      <c r="B235" s="10"/>
      <c r="C235" s="16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</row>
    <row r="236" spans="1:39" ht="18" x14ac:dyDescent="0.25">
      <c r="A236" s="10"/>
      <c r="B236" s="10"/>
      <c r="C236" s="16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 spans="1:39" ht="18" x14ac:dyDescent="0.25">
      <c r="A237" s="10"/>
      <c r="B237" s="10"/>
      <c r="C237" s="16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 spans="1:39" ht="18" x14ac:dyDescent="0.25">
      <c r="A238" s="10"/>
      <c r="B238" s="10"/>
      <c r="C238" s="16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 spans="1:39" ht="18" x14ac:dyDescent="0.25">
      <c r="A239" s="10"/>
      <c r="B239" s="10"/>
      <c r="C239" s="16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 spans="1:39" ht="18" x14ac:dyDescent="0.25">
      <c r="A240" s="10"/>
      <c r="B240" s="10"/>
      <c r="C240" s="16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</row>
    <row r="241" spans="1:39" ht="18" x14ac:dyDescent="0.25">
      <c r="A241" s="10"/>
      <c r="B241" s="10"/>
      <c r="C241" s="16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</row>
    <row r="242" spans="1:39" ht="18" x14ac:dyDescent="0.25">
      <c r="A242" s="10"/>
      <c r="B242" s="10"/>
      <c r="C242" s="16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 spans="1:39" ht="18" x14ac:dyDescent="0.25">
      <c r="A243" s="10"/>
      <c r="B243" s="10"/>
      <c r="C243" s="16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 spans="1:39" ht="18" x14ac:dyDescent="0.25">
      <c r="A244" s="10"/>
      <c r="B244" s="10"/>
      <c r="C244" s="16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</row>
    <row r="245" spans="1:39" ht="18" x14ac:dyDescent="0.25">
      <c r="A245" s="10"/>
      <c r="B245" s="10"/>
      <c r="C245" s="16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 spans="1:39" ht="18" x14ac:dyDescent="0.25">
      <c r="A246" s="10"/>
      <c r="B246" s="10"/>
      <c r="C246" s="16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 spans="1:39" ht="18" x14ac:dyDescent="0.25">
      <c r="A247" s="10"/>
      <c r="B247" s="10"/>
      <c r="C247" s="16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</row>
    <row r="248" spans="1:39" ht="18" x14ac:dyDescent="0.25">
      <c r="A248" s="10"/>
      <c r="B248" s="10"/>
      <c r="C248" s="16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</row>
    <row r="249" spans="1:39" ht="18" x14ac:dyDescent="0.25">
      <c r="A249" s="10"/>
      <c r="B249" s="10"/>
      <c r="C249" s="16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</row>
    <row r="250" spans="1:39" ht="18" x14ac:dyDescent="0.25">
      <c r="A250" s="10"/>
      <c r="B250" s="10"/>
      <c r="C250" s="16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</row>
    <row r="251" spans="1:39" ht="18" x14ac:dyDescent="0.25">
      <c r="A251" s="10"/>
      <c r="B251" s="10"/>
      <c r="C251" s="16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</row>
    <row r="252" spans="1:39" ht="18" x14ac:dyDescent="0.25">
      <c r="A252" s="10"/>
      <c r="B252" s="10"/>
      <c r="C252" s="16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</row>
    <row r="253" spans="1:39" ht="18" x14ac:dyDescent="0.25">
      <c r="A253" s="10"/>
      <c r="B253" s="10"/>
      <c r="C253" s="16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</row>
    <row r="254" spans="1:39" ht="18" x14ac:dyDescent="0.25">
      <c r="A254" s="10"/>
      <c r="B254" s="10"/>
      <c r="C254" s="16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</row>
    <row r="255" spans="1:39" ht="18" x14ac:dyDescent="0.25">
      <c r="A255" s="10"/>
      <c r="B255" s="10"/>
      <c r="C255" s="16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</row>
    <row r="256" spans="1:39" ht="18" x14ac:dyDescent="0.25">
      <c r="A256" s="10"/>
      <c r="B256" s="10"/>
      <c r="C256" s="16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</row>
    <row r="257" spans="1:39" ht="18" x14ac:dyDescent="0.25">
      <c r="A257" s="10"/>
      <c r="B257" s="10"/>
      <c r="C257" s="16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</row>
    <row r="258" spans="1:39" ht="18" x14ac:dyDescent="0.25">
      <c r="A258" s="10"/>
      <c r="B258" s="10"/>
      <c r="C258" s="16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 spans="1:39" ht="18" x14ac:dyDescent="0.25">
      <c r="A259" s="10"/>
      <c r="B259" s="10"/>
      <c r="C259" s="16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 spans="1:39" ht="18" x14ac:dyDescent="0.25">
      <c r="A260" s="10"/>
      <c r="B260" s="10"/>
      <c r="C260" s="16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 spans="1:39" ht="18" x14ac:dyDescent="0.25">
      <c r="A261" s="10"/>
      <c r="B261" s="10"/>
      <c r="C261" s="16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 spans="1:39" ht="18" x14ac:dyDescent="0.25">
      <c r="A262" s="10"/>
      <c r="B262" s="10"/>
      <c r="C262" s="16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 spans="1:39" ht="18" x14ac:dyDescent="0.25">
      <c r="A263" s="10"/>
      <c r="B263" s="10"/>
      <c r="C263" s="16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 spans="1:39" ht="18" x14ac:dyDescent="0.25">
      <c r="A264" s="10"/>
      <c r="B264" s="10"/>
      <c r="C264" s="16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 spans="1:39" ht="18" x14ac:dyDescent="0.25">
      <c r="A265" s="10"/>
      <c r="B265" s="10"/>
      <c r="C265" s="16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 spans="1:39" ht="18" x14ac:dyDescent="0.25">
      <c r="A266" s="10"/>
      <c r="B266" s="10"/>
      <c r="C266" s="16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 spans="1:39" ht="18" x14ac:dyDescent="0.25">
      <c r="A267" s="10"/>
      <c r="B267" s="10"/>
      <c r="C267" s="16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 spans="1:39" ht="18" x14ac:dyDescent="0.25">
      <c r="A268" s="10"/>
      <c r="B268" s="10"/>
      <c r="C268" s="16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 spans="1:39" ht="18" x14ac:dyDescent="0.25">
      <c r="A269" s="10"/>
      <c r="B269" s="10"/>
      <c r="C269" s="16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 spans="1:39" ht="18" x14ac:dyDescent="0.25">
      <c r="A270" s="10"/>
      <c r="B270" s="10"/>
      <c r="C270" s="16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 spans="1:39" ht="18" x14ac:dyDescent="0.25">
      <c r="A271" s="10"/>
      <c r="B271" s="10"/>
      <c r="C271" s="16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 spans="1:39" ht="18" x14ac:dyDescent="0.25">
      <c r="A272" s="10"/>
      <c r="B272" s="10"/>
      <c r="C272" s="16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 spans="1:39" ht="18" x14ac:dyDescent="0.25">
      <c r="A273" s="10"/>
      <c r="B273" s="10"/>
      <c r="C273" s="16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 spans="1:39" ht="18" x14ac:dyDescent="0.25">
      <c r="A274" s="10"/>
      <c r="B274" s="10"/>
      <c r="C274" s="16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 spans="1:39" ht="18" x14ac:dyDescent="0.25">
      <c r="A275" s="10"/>
      <c r="B275" s="10"/>
      <c r="C275" s="16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 spans="1:39" ht="18" x14ac:dyDescent="0.25">
      <c r="A276" s="10"/>
      <c r="B276" s="10"/>
      <c r="C276" s="16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 spans="1:39" ht="18" x14ac:dyDescent="0.25">
      <c r="A277" s="10"/>
      <c r="B277" s="10"/>
      <c r="C277" s="16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 spans="1:39" ht="18" x14ac:dyDescent="0.25">
      <c r="A278" s="10"/>
      <c r="B278" s="10"/>
      <c r="C278" s="16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 spans="1:39" ht="18" x14ac:dyDescent="0.25">
      <c r="A279" s="10"/>
      <c r="B279" s="10"/>
      <c r="C279" s="16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 spans="1:39" ht="18" x14ac:dyDescent="0.25">
      <c r="A280" s="10"/>
      <c r="B280" s="10"/>
      <c r="C280" s="16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spans="1:39" ht="18" x14ac:dyDescent="0.25">
      <c r="A281" s="10"/>
      <c r="B281" s="10"/>
      <c r="C281" s="16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 spans="1:39" ht="18" x14ac:dyDescent="0.25">
      <c r="A282" s="10"/>
      <c r="B282" s="10"/>
      <c r="C282" s="16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 spans="1:39" ht="18" x14ac:dyDescent="0.25">
      <c r="A283" s="10"/>
      <c r="B283" s="10"/>
      <c r="C283" s="16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 spans="1:39" ht="18" x14ac:dyDescent="0.25">
      <c r="A284" s="10"/>
      <c r="B284" s="10"/>
      <c r="C284" s="16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  <row r="285" spans="1:39" ht="18" x14ac:dyDescent="0.25">
      <c r="A285" s="10"/>
      <c r="B285" s="10"/>
      <c r="C285" s="16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</row>
    <row r="286" spans="1:39" ht="18" x14ac:dyDescent="0.25">
      <c r="A286" s="10"/>
      <c r="B286" s="10"/>
      <c r="C286" s="16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</row>
    <row r="287" spans="1:39" ht="18" x14ac:dyDescent="0.25">
      <c r="A287" s="10"/>
      <c r="B287" s="10"/>
      <c r="C287" s="16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</row>
    <row r="288" spans="1:39" ht="18" x14ac:dyDescent="0.25">
      <c r="A288" s="10"/>
      <c r="B288" s="10"/>
      <c r="C288" s="16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</row>
    <row r="289" spans="1:39" ht="18" x14ac:dyDescent="0.25">
      <c r="A289" s="10"/>
      <c r="B289" s="10"/>
      <c r="C289" s="16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</row>
    <row r="290" spans="1:39" ht="18" x14ac:dyDescent="0.25">
      <c r="A290" s="10"/>
      <c r="B290" s="10"/>
      <c r="C290" s="16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</row>
    <row r="291" spans="1:39" ht="18" x14ac:dyDescent="0.25">
      <c r="A291" s="10"/>
      <c r="B291" s="10"/>
      <c r="C291" s="16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</row>
    <row r="292" spans="1:39" ht="18" x14ac:dyDescent="0.25">
      <c r="A292" s="10"/>
      <c r="B292" s="10"/>
      <c r="C292" s="16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</row>
    <row r="293" spans="1:39" ht="18" x14ac:dyDescent="0.25">
      <c r="A293" s="10"/>
      <c r="B293" s="10"/>
      <c r="C293" s="16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</row>
    <row r="294" spans="1:39" ht="18" x14ac:dyDescent="0.25">
      <c r="A294" s="10"/>
      <c r="B294" s="10"/>
      <c r="C294" s="16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</row>
    <row r="295" spans="1:39" ht="18" x14ac:dyDescent="0.25">
      <c r="A295" s="10"/>
      <c r="B295" s="10"/>
      <c r="C295" s="16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</row>
    <row r="296" spans="1:39" ht="18" x14ac:dyDescent="0.25">
      <c r="A296" s="10"/>
      <c r="B296" s="10"/>
      <c r="C296" s="16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</row>
    <row r="297" spans="1:39" ht="18" x14ac:dyDescent="0.25">
      <c r="A297" s="10"/>
      <c r="B297" s="10"/>
      <c r="C297" s="16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</row>
    <row r="298" spans="1:39" ht="18" x14ac:dyDescent="0.25">
      <c r="A298" s="10"/>
      <c r="B298" s="10"/>
      <c r="C298" s="16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</row>
    <row r="299" spans="1:39" ht="18" x14ac:dyDescent="0.25">
      <c r="A299" s="10"/>
      <c r="B299" s="10"/>
      <c r="C299" s="16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</row>
    <row r="300" spans="1:39" ht="18" x14ac:dyDescent="0.25">
      <c r="A300" s="10"/>
      <c r="B300" s="10"/>
      <c r="C300" s="16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</row>
    <row r="301" spans="1:39" ht="18" x14ac:dyDescent="0.25">
      <c r="A301" s="10"/>
      <c r="B301" s="10"/>
      <c r="C301" s="16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</row>
    <row r="302" spans="1:39" ht="18" x14ac:dyDescent="0.25">
      <c r="A302" s="10"/>
      <c r="B302" s="10"/>
      <c r="C302" s="16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</row>
    <row r="303" spans="1:39" ht="18" x14ac:dyDescent="0.25">
      <c r="A303" s="10"/>
      <c r="B303" s="10"/>
      <c r="C303" s="16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</row>
    <row r="304" spans="1:39" ht="18" x14ac:dyDescent="0.25">
      <c r="A304" s="10"/>
      <c r="B304" s="10"/>
      <c r="C304" s="16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</row>
    <row r="305" spans="1:39" ht="18" x14ac:dyDescent="0.25">
      <c r="A305" s="10"/>
      <c r="B305" s="10"/>
      <c r="C305" s="16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</row>
    <row r="306" spans="1:39" ht="18" x14ac:dyDescent="0.25">
      <c r="A306" s="10"/>
      <c r="B306" s="10"/>
      <c r="C306" s="16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</row>
    <row r="307" spans="1:39" ht="18" x14ac:dyDescent="0.25">
      <c r="A307" s="10"/>
      <c r="B307" s="10"/>
      <c r="C307" s="16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</row>
    <row r="308" spans="1:39" ht="18" x14ac:dyDescent="0.25">
      <c r="A308" s="10"/>
      <c r="B308" s="10"/>
      <c r="C308" s="16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</row>
    <row r="309" spans="1:39" ht="18" x14ac:dyDescent="0.25">
      <c r="A309" s="10"/>
      <c r="B309" s="10"/>
      <c r="C309" s="16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</row>
    <row r="310" spans="1:39" ht="18" x14ac:dyDescent="0.25">
      <c r="A310" s="10"/>
      <c r="B310" s="10"/>
      <c r="C310" s="16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</row>
    <row r="311" spans="1:39" ht="18" x14ac:dyDescent="0.25">
      <c r="A311" s="10"/>
      <c r="B311" s="10"/>
      <c r="C311" s="16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</row>
    <row r="312" spans="1:39" ht="18" x14ac:dyDescent="0.25">
      <c r="A312" s="10"/>
      <c r="B312" s="10"/>
      <c r="C312" s="16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</row>
    <row r="313" spans="1:39" ht="18" x14ac:dyDescent="0.25">
      <c r="A313" s="10"/>
      <c r="B313" s="10"/>
      <c r="C313" s="16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</row>
    <row r="314" spans="1:39" ht="18" x14ac:dyDescent="0.25">
      <c r="A314" s="10"/>
      <c r="B314" s="10"/>
      <c r="C314" s="16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</row>
    <row r="315" spans="1:39" ht="18" x14ac:dyDescent="0.25">
      <c r="A315" s="10"/>
      <c r="B315" s="10"/>
      <c r="C315" s="16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</row>
    <row r="316" spans="1:39" ht="18" x14ac:dyDescent="0.25">
      <c r="A316" s="10"/>
      <c r="B316" s="10"/>
      <c r="C316" s="16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</row>
    <row r="317" spans="1:39" ht="18" x14ac:dyDescent="0.25">
      <c r="A317" s="10"/>
      <c r="B317" s="10"/>
      <c r="C317" s="16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</row>
    <row r="318" spans="1:39" ht="18" x14ac:dyDescent="0.25">
      <c r="A318" s="10"/>
      <c r="B318" s="10"/>
      <c r="C318" s="16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</row>
    <row r="319" spans="1:39" ht="18" x14ac:dyDescent="0.25">
      <c r="A319" s="10"/>
      <c r="B319" s="10"/>
      <c r="C319" s="16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</row>
    <row r="320" spans="1:39" ht="18" x14ac:dyDescent="0.25">
      <c r="A320" s="10"/>
      <c r="B320" s="10"/>
      <c r="C320" s="16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</row>
    <row r="321" spans="1:39" ht="18" x14ac:dyDescent="0.25">
      <c r="A321" s="10"/>
      <c r="B321" s="10"/>
      <c r="C321" s="16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</row>
    <row r="322" spans="1:39" ht="18" x14ac:dyDescent="0.25">
      <c r="A322" s="10"/>
      <c r="B322" s="10"/>
      <c r="C322" s="16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</row>
    <row r="323" spans="1:39" ht="18" x14ac:dyDescent="0.25">
      <c r="A323" s="10"/>
      <c r="B323" s="10"/>
      <c r="C323" s="16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</row>
    <row r="324" spans="1:39" ht="18" x14ac:dyDescent="0.25">
      <c r="A324" s="10"/>
      <c r="B324" s="10"/>
      <c r="C324" s="16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</row>
    <row r="325" spans="1:39" ht="18" x14ac:dyDescent="0.25">
      <c r="A325" s="10"/>
      <c r="B325" s="10"/>
      <c r="C325" s="16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</row>
    <row r="326" spans="1:39" ht="18" x14ac:dyDescent="0.25">
      <c r="A326" s="10"/>
      <c r="B326" s="10"/>
      <c r="C326" s="16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</row>
    <row r="327" spans="1:39" ht="18" x14ac:dyDescent="0.25">
      <c r="A327" s="10"/>
      <c r="B327" s="10"/>
      <c r="C327" s="16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</row>
    <row r="328" spans="1:39" ht="18" x14ac:dyDescent="0.25">
      <c r="A328" s="10"/>
      <c r="B328" s="10"/>
      <c r="C328" s="16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</row>
    <row r="329" spans="1:39" ht="18" x14ac:dyDescent="0.25">
      <c r="A329" s="10"/>
      <c r="B329" s="10"/>
      <c r="C329" s="16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</row>
    <row r="330" spans="1:39" ht="18" x14ac:dyDescent="0.25">
      <c r="A330" s="10"/>
      <c r="B330" s="10"/>
      <c r="C330" s="16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</row>
    <row r="331" spans="1:39" ht="18" x14ac:dyDescent="0.25">
      <c r="A331" s="10"/>
      <c r="B331" s="10"/>
      <c r="C331" s="16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</row>
    <row r="332" spans="1:39" ht="18" x14ac:dyDescent="0.25">
      <c r="A332" s="10"/>
      <c r="B332" s="10"/>
      <c r="C332" s="16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</row>
    <row r="333" spans="1:39" ht="18" x14ac:dyDescent="0.25">
      <c r="A333" s="10"/>
      <c r="B333" s="10"/>
      <c r="C333" s="16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</row>
    <row r="334" spans="1:39" ht="18" x14ac:dyDescent="0.25">
      <c r="A334" s="10"/>
      <c r="B334" s="10"/>
      <c r="C334" s="16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</row>
    <row r="335" spans="1:39" ht="18" x14ac:dyDescent="0.25">
      <c r="A335" s="10"/>
      <c r="B335" s="10"/>
      <c r="C335" s="16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</row>
    <row r="336" spans="1:39" ht="18" x14ac:dyDescent="0.25">
      <c r="A336" s="10"/>
      <c r="B336" s="10"/>
      <c r="C336" s="16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</row>
    <row r="337" spans="1:39" ht="18" x14ac:dyDescent="0.25">
      <c r="A337" s="10"/>
      <c r="B337" s="10"/>
      <c r="C337" s="16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</row>
    <row r="338" spans="1:39" ht="18" x14ac:dyDescent="0.25">
      <c r="A338" s="10"/>
      <c r="B338" s="10"/>
      <c r="C338" s="16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</row>
    <row r="339" spans="1:39" ht="18" x14ac:dyDescent="0.25">
      <c r="A339" s="10"/>
      <c r="B339" s="10"/>
      <c r="C339" s="16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</row>
    <row r="340" spans="1:39" ht="18" x14ac:dyDescent="0.25">
      <c r="A340" s="10"/>
      <c r="B340" s="10"/>
      <c r="C340" s="16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</row>
    <row r="341" spans="1:39" ht="18" x14ac:dyDescent="0.25">
      <c r="A341" s="10"/>
      <c r="B341" s="10"/>
      <c r="C341" s="16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</row>
    <row r="342" spans="1:39" ht="18" x14ac:dyDescent="0.25">
      <c r="A342" s="10"/>
      <c r="B342" s="10"/>
      <c r="C342" s="16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</row>
    <row r="343" spans="1:39" ht="18" x14ac:dyDescent="0.25">
      <c r="A343" s="10"/>
      <c r="B343" s="10"/>
      <c r="C343" s="16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</row>
    <row r="344" spans="1:39" ht="18" x14ac:dyDescent="0.25">
      <c r="A344" s="10"/>
      <c r="B344" s="10"/>
      <c r="C344" s="16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</row>
    <row r="345" spans="1:39" ht="18" x14ac:dyDescent="0.25">
      <c r="A345" s="10"/>
      <c r="B345" s="10"/>
      <c r="C345" s="16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</row>
    <row r="346" spans="1:39" ht="18" x14ac:dyDescent="0.25">
      <c r="A346" s="10"/>
      <c r="B346" s="10"/>
      <c r="C346" s="16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</row>
    <row r="347" spans="1:39" ht="18" x14ac:dyDescent="0.25">
      <c r="A347" s="10"/>
      <c r="B347" s="10"/>
      <c r="C347" s="16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</row>
    <row r="348" spans="1:39" ht="18" x14ac:dyDescent="0.25">
      <c r="A348" s="10"/>
      <c r="B348" s="10"/>
      <c r="C348" s="16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</row>
    <row r="349" spans="1:39" ht="18" x14ac:dyDescent="0.25">
      <c r="A349" s="10"/>
      <c r="B349" s="10"/>
      <c r="C349" s="16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</row>
    <row r="350" spans="1:39" ht="18" x14ac:dyDescent="0.25">
      <c r="A350" s="10"/>
      <c r="B350" s="10"/>
      <c r="C350" s="16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</row>
    <row r="351" spans="1:39" ht="18" x14ac:dyDescent="0.25">
      <c r="A351" s="10"/>
      <c r="B351" s="10"/>
      <c r="C351" s="16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</row>
    <row r="352" spans="1:39" ht="18" x14ac:dyDescent="0.25">
      <c r="A352" s="10"/>
      <c r="B352" s="10"/>
      <c r="C352" s="16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</row>
    <row r="353" spans="1:39" ht="18" x14ac:dyDescent="0.25">
      <c r="A353" s="10"/>
      <c r="B353" s="10"/>
      <c r="C353" s="16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</row>
    <row r="354" spans="1:39" ht="18" x14ac:dyDescent="0.25">
      <c r="A354" s="10"/>
      <c r="B354" s="10"/>
      <c r="C354" s="16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</row>
    <row r="355" spans="1:39" ht="18" x14ac:dyDescent="0.25">
      <c r="A355" s="10"/>
      <c r="B355" s="10"/>
      <c r="C355" s="16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</row>
    <row r="356" spans="1:39" ht="18" x14ac:dyDescent="0.25">
      <c r="A356" s="10"/>
      <c r="B356" s="10"/>
      <c r="C356" s="16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</row>
    <row r="357" spans="1:39" ht="18" x14ac:dyDescent="0.25">
      <c r="A357" s="10"/>
      <c r="B357" s="10"/>
      <c r="C357" s="16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</row>
    <row r="358" spans="1:39" ht="18" x14ac:dyDescent="0.25">
      <c r="A358" s="10"/>
      <c r="B358" s="10"/>
      <c r="C358" s="16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</row>
    <row r="359" spans="1:39" ht="18" x14ac:dyDescent="0.25">
      <c r="A359" s="10"/>
      <c r="B359" s="10"/>
      <c r="C359" s="16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</row>
    <row r="360" spans="1:39" ht="18" x14ac:dyDescent="0.25">
      <c r="A360" s="10"/>
      <c r="B360" s="10"/>
      <c r="C360" s="16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</row>
    <row r="361" spans="1:39" ht="18" x14ac:dyDescent="0.25">
      <c r="A361" s="10"/>
      <c r="B361" s="10"/>
      <c r="C361" s="16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</row>
    <row r="362" spans="1:39" ht="18" x14ac:dyDescent="0.25">
      <c r="A362" s="10"/>
      <c r="B362" s="10"/>
      <c r="C362" s="16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</row>
    <row r="363" spans="1:39" ht="18" x14ac:dyDescent="0.25">
      <c r="A363" s="10"/>
      <c r="B363" s="10"/>
      <c r="C363" s="16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</row>
    <row r="364" spans="1:39" ht="18" x14ac:dyDescent="0.25">
      <c r="A364" s="10"/>
      <c r="B364" s="10"/>
      <c r="C364" s="16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</row>
    <row r="365" spans="1:39" ht="18" x14ac:dyDescent="0.25">
      <c r="A365" s="10"/>
      <c r="B365" s="10"/>
      <c r="C365" s="16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</row>
    <row r="366" spans="1:39" ht="18" x14ac:dyDescent="0.25">
      <c r="A366" s="10"/>
      <c r="B366" s="10"/>
      <c r="C366" s="16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</row>
    <row r="367" spans="1:39" ht="18" x14ac:dyDescent="0.25">
      <c r="A367" s="10"/>
      <c r="B367" s="10"/>
      <c r="C367" s="16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</row>
    <row r="368" spans="1:39" ht="18" x14ac:dyDescent="0.25">
      <c r="A368" s="10"/>
      <c r="B368" s="10"/>
      <c r="C368" s="16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</row>
    <row r="369" spans="1:39" ht="18" x14ac:dyDescent="0.25">
      <c r="A369" s="10"/>
      <c r="B369" s="10"/>
      <c r="C369" s="16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</row>
    <row r="370" spans="1:39" ht="18" x14ac:dyDescent="0.25">
      <c r="A370" s="10"/>
      <c r="B370" s="10"/>
      <c r="C370" s="16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</row>
    <row r="371" spans="1:39" ht="18" x14ac:dyDescent="0.25">
      <c r="A371" s="10"/>
      <c r="B371" s="10"/>
      <c r="C371" s="16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</row>
    <row r="372" spans="1:39" ht="18" x14ac:dyDescent="0.25">
      <c r="A372" s="10"/>
      <c r="B372" s="10"/>
      <c r="C372" s="16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</row>
    <row r="373" spans="1:39" ht="18" x14ac:dyDescent="0.25">
      <c r="A373" s="10"/>
      <c r="B373" s="10"/>
      <c r="C373" s="16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</row>
    <row r="374" spans="1:39" ht="18" x14ac:dyDescent="0.25">
      <c r="A374" s="10"/>
      <c r="B374" s="10"/>
      <c r="C374" s="16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</row>
    <row r="375" spans="1:39" ht="18" x14ac:dyDescent="0.25">
      <c r="A375" s="10"/>
      <c r="B375" s="10"/>
      <c r="C375" s="16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</row>
    <row r="376" spans="1:39" ht="18" x14ac:dyDescent="0.25">
      <c r="A376" s="10"/>
      <c r="B376" s="10"/>
      <c r="C376" s="16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</row>
    <row r="377" spans="1:39" ht="18" x14ac:dyDescent="0.25">
      <c r="A377" s="10"/>
      <c r="B377" s="10"/>
      <c r="C377" s="16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</row>
    <row r="378" spans="1:39" ht="18" x14ac:dyDescent="0.25">
      <c r="A378" s="10"/>
      <c r="B378" s="10"/>
      <c r="C378" s="16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</row>
    <row r="379" spans="1:39" ht="18" x14ac:dyDescent="0.25">
      <c r="A379" s="10"/>
      <c r="B379" s="10"/>
      <c r="C379" s="16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</row>
    <row r="380" spans="1:39" ht="18" x14ac:dyDescent="0.25">
      <c r="A380" s="10"/>
      <c r="B380" s="10"/>
      <c r="C380" s="16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</row>
    <row r="381" spans="1:39" ht="18" x14ac:dyDescent="0.25">
      <c r="A381" s="10"/>
      <c r="B381" s="10"/>
      <c r="C381" s="16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</row>
    <row r="382" spans="1:39" ht="18" x14ac:dyDescent="0.25">
      <c r="A382" s="10"/>
      <c r="B382" s="10"/>
      <c r="C382" s="16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</row>
    <row r="383" spans="1:39" ht="18" x14ac:dyDescent="0.25">
      <c r="A383" s="10"/>
      <c r="B383" s="10"/>
      <c r="C383" s="16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</row>
    <row r="384" spans="1:39" ht="18" x14ac:dyDescent="0.25">
      <c r="A384" s="10"/>
      <c r="B384" s="10"/>
      <c r="C384" s="16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</row>
    <row r="385" spans="1:39" ht="18" x14ac:dyDescent="0.25">
      <c r="A385" s="10"/>
      <c r="B385" s="10"/>
      <c r="C385" s="16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</row>
    <row r="386" spans="1:39" ht="18" x14ac:dyDescent="0.25">
      <c r="A386" s="10"/>
      <c r="B386" s="10"/>
      <c r="C386" s="16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</row>
    <row r="387" spans="1:39" ht="18" x14ac:dyDescent="0.25">
      <c r="A387" s="10"/>
      <c r="B387" s="10"/>
      <c r="C387" s="16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 spans="1:39" ht="18" x14ac:dyDescent="0.25">
      <c r="A388" s="10"/>
      <c r="B388" s="10"/>
      <c r="C388" s="16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</row>
    <row r="389" spans="1:39" ht="18" x14ac:dyDescent="0.25">
      <c r="A389" s="10"/>
      <c r="B389" s="10"/>
      <c r="C389" s="16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</row>
    <row r="390" spans="1:39" ht="18" x14ac:dyDescent="0.25">
      <c r="A390" s="10"/>
      <c r="B390" s="10"/>
      <c r="C390" s="16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</row>
    <row r="391" spans="1:39" ht="18" x14ac:dyDescent="0.25">
      <c r="A391" s="10"/>
      <c r="B391" s="10"/>
      <c r="C391" s="16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</row>
    <row r="392" spans="1:39" ht="18" x14ac:dyDescent="0.25">
      <c r="A392" s="10"/>
      <c r="B392" s="10"/>
      <c r="C392" s="16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</row>
    <row r="393" spans="1:39" ht="18" x14ac:dyDescent="0.25">
      <c r="A393" s="10"/>
      <c r="B393" s="10"/>
      <c r="C393" s="16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</row>
    <row r="394" spans="1:39" ht="18" x14ac:dyDescent="0.25">
      <c r="A394" s="10"/>
      <c r="B394" s="10"/>
      <c r="C394" s="16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</row>
    <row r="395" spans="1:39" ht="18" x14ac:dyDescent="0.25">
      <c r="A395" s="10"/>
      <c r="B395" s="10"/>
      <c r="C395" s="16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</row>
    <row r="396" spans="1:39" ht="18" x14ac:dyDescent="0.25">
      <c r="A396" s="10"/>
      <c r="B396" s="10"/>
      <c r="C396" s="16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</row>
    <row r="397" spans="1:39" ht="18" x14ac:dyDescent="0.25">
      <c r="A397" s="10"/>
      <c r="B397" s="10"/>
      <c r="C397" s="16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</row>
    <row r="398" spans="1:39" ht="18" x14ac:dyDescent="0.25">
      <c r="A398" s="10"/>
      <c r="B398" s="10"/>
      <c r="C398" s="16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</row>
    <row r="399" spans="1:39" ht="18" x14ac:dyDescent="0.25">
      <c r="A399" s="10"/>
      <c r="B399" s="10"/>
      <c r="C399" s="16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</row>
    <row r="400" spans="1:39" ht="18" x14ac:dyDescent="0.25">
      <c r="A400" s="10"/>
      <c r="B400" s="10"/>
      <c r="C400" s="16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</row>
    <row r="401" spans="1:39" ht="18" x14ac:dyDescent="0.25">
      <c r="A401" s="10"/>
      <c r="B401" s="10"/>
      <c r="C401" s="16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</row>
    <row r="402" spans="1:39" ht="18" x14ac:dyDescent="0.25">
      <c r="A402" s="10"/>
      <c r="B402" s="10"/>
      <c r="C402" s="16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</row>
    <row r="403" spans="1:39" ht="18" x14ac:dyDescent="0.25">
      <c r="A403" s="10"/>
      <c r="B403" s="10"/>
      <c r="C403" s="16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</row>
    <row r="404" spans="1:39" ht="18" x14ac:dyDescent="0.25">
      <c r="A404" s="10"/>
      <c r="B404" s="10"/>
      <c r="C404" s="16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</row>
    <row r="405" spans="1:39" ht="18" x14ac:dyDescent="0.25">
      <c r="A405" s="10"/>
      <c r="B405" s="10"/>
      <c r="C405" s="16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</row>
    <row r="406" spans="1:39" ht="18" x14ac:dyDescent="0.25">
      <c r="A406" s="10"/>
      <c r="B406" s="10"/>
      <c r="C406" s="16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</row>
    <row r="407" spans="1:39" ht="18" x14ac:dyDescent="0.25">
      <c r="A407" s="10"/>
      <c r="B407" s="10"/>
      <c r="C407" s="16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</row>
    <row r="408" spans="1:39" ht="18" x14ac:dyDescent="0.25">
      <c r="A408" s="10"/>
      <c r="B408" s="10"/>
      <c r="C408" s="16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</row>
    <row r="409" spans="1:39" ht="18" x14ac:dyDescent="0.25">
      <c r="A409" s="10"/>
      <c r="B409" s="10"/>
      <c r="C409" s="16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</row>
    <row r="410" spans="1:39" ht="18" x14ac:dyDescent="0.25">
      <c r="A410" s="10"/>
      <c r="B410" s="10"/>
      <c r="C410" s="16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</row>
    <row r="411" spans="1:39" ht="18" x14ac:dyDescent="0.25">
      <c r="A411" s="10"/>
      <c r="B411" s="10"/>
      <c r="C411" s="16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</row>
    <row r="412" spans="1:39" ht="18" x14ac:dyDescent="0.25">
      <c r="A412" s="10"/>
      <c r="B412" s="10"/>
      <c r="C412" s="16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</row>
    <row r="413" spans="1:39" ht="18" x14ac:dyDescent="0.25">
      <c r="A413" s="10"/>
      <c r="B413" s="10"/>
      <c r="C413" s="16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</row>
    <row r="414" spans="1:39" ht="18" x14ac:dyDescent="0.25">
      <c r="A414" s="10"/>
      <c r="B414" s="10"/>
      <c r="C414" s="16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</row>
    <row r="415" spans="1:39" ht="18" x14ac:dyDescent="0.25">
      <c r="A415" s="10"/>
      <c r="B415" s="10"/>
      <c r="C415" s="16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</row>
    <row r="416" spans="1:39" ht="18" x14ac:dyDescent="0.25">
      <c r="A416" s="10"/>
      <c r="B416" s="10"/>
      <c r="C416" s="16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</row>
    <row r="417" spans="1:39" ht="18" x14ac:dyDescent="0.25">
      <c r="A417" s="10"/>
      <c r="B417" s="10"/>
      <c r="C417" s="16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</row>
    <row r="418" spans="1:39" ht="18" x14ac:dyDescent="0.25">
      <c r="A418" s="10"/>
      <c r="B418" s="10"/>
      <c r="C418" s="16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</row>
    <row r="419" spans="1:39" ht="18" x14ac:dyDescent="0.25">
      <c r="A419" s="10"/>
      <c r="B419" s="10"/>
      <c r="C419" s="16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</row>
    <row r="420" spans="1:39" ht="18" x14ac:dyDescent="0.25">
      <c r="A420" s="10"/>
      <c r="B420" s="10"/>
      <c r="C420" s="16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</row>
    <row r="421" spans="1:39" ht="18" x14ac:dyDescent="0.25">
      <c r="A421" s="10"/>
      <c r="B421" s="10"/>
      <c r="C421" s="16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</row>
    <row r="422" spans="1:39" ht="18" x14ac:dyDescent="0.25">
      <c r="A422" s="10"/>
      <c r="B422" s="10"/>
      <c r="C422" s="16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</row>
    <row r="423" spans="1:39" ht="18" x14ac:dyDescent="0.25">
      <c r="A423" s="10"/>
      <c r="B423" s="10"/>
      <c r="C423" s="16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</row>
    <row r="424" spans="1:39" ht="18" x14ac:dyDescent="0.25">
      <c r="A424" s="10"/>
      <c r="B424" s="10"/>
      <c r="C424" s="16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</row>
    <row r="425" spans="1:39" ht="18" x14ac:dyDescent="0.25">
      <c r="A425" s="10"/>
      <c r="B425" s="10"/>
      <c r="C425" s="16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</row>
    <row r="426" spans="1:39" ht="18" x14ac:dyDescent="0.25">
      <c r="A426" s="10"/>
      <c r="B426" s="10"/>
      <c r="C426" s="16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</row>
    <row r="427" spans="1:39" ht="18" x14ac:dyDescent="0.25">
      <c r="A427" s="10"/>
      <c r="B427" s="10"/>
      <c r="C427" s="16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</row>
    <row r="428" spans="1:39" ht="18" x14ac:dyDescent="0.25">
      <c r="A428" s="10"/>
      <c r="B428" s="10"/>
      <c r="C428" s="16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</row>
    <row r="429" spans="1:39" ht="18" x14ac:dyDescent="0.25">
      <c r="A429" s="10"/>
      <c r="B429" s="10"/>
      <c r="C429" s="16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</row>
    <row r="430" spans="1:39" ht="18" x14ac:dyDescent="0.25">
      <c r="A430" s="10"/>
      <c r="B430" s="10"/>
      <c r="C430" s="16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</row>
    <row r="431" spans="1:39" ht="18" x14ac:dyDescent="0.25">
      <c r="A431" s="10"/>
      <c r="B431" s="10"/>
      <c r="C431" s="16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</row>
    <row r="432" spans="1:39" ht="18" x14ac:dyDescent="0.25">
      <c r="A432" s="10"/>
      <c r="B432" s="10"/>
      <c r="C432" s="16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</row>
    <row r="433" spans="1:39" ht="18" x14ac:dyDescent="0.25">
      <c r="A433" s="10"/>
      <c r="B433" s="10"/>
      <c r="C433" s="16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</row>
    <row r="434" spans="1:39" ht="18" x14ac:dyDescent="0.25">
      <c r="A434" s="10"/>
      <c r="B434" s="10"/>
      <c r="C434" s="16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</row>
    <row r="435" spans="1:39" ht="18" x14ac:dyDescent="0.25">
      <c r="A435" s="10"/>
      <c r="B435" s="10"/>
      <c r="C435" s="16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</row>
    <row r="436" spans="1:39" ht="18" x14ac:dyDescent="0.25">
      <c r="A436" s="10"/>
      <c r="B436" s="10"/>
      <c r="C436" s="16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</row>
    <row r="437" spans="1:39" ht="18" x14ac:dyDescent="0.25">
      <c r="A437" s="10"/>
      <c r="B437" s="10"/>
      <c r="C437" s="16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</row>
    <row r="438" spans="1:39" ht="18" x14ac:dyDescent="0.25">
      <c r="A438" s="10"/>
      <c r="B438" s="10"/>
      <c r="C438" s="16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</row>
    <row r="439" spans="1:39" ht="18" x14ac:dyDescent="0.25">
      <c r="A439" s="10"/>
      <c r="B439" s="10"/>
      <c r="C439" s="16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</row>
    <row r="440" spans="1:39" ht="18" x14ac:dyDescent="0.25">
      <c r="A440" s="10"/>
      <c r="B440" s="10"/>
      <c r="C440" s="16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</row>
    <row r="441" spans="1:39" ht="18" x14ac:dyDescent="0.25">
      <c r="A441" s="10"/>
      <c r="B441" s="10"/>
      <c r="C441" s="16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</row>
    <row r="442" spans="1:39" ht="18" x14ac:dyDescent="0.25">
      <c r="A442" s="10"/>
      <c r="B442" s="10"/>
      <c r="C442" s="16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</row>
    <row r="443" spans="1:39" ht="18" x14ac:dyDescent="0.25">
      <c r="A443" s="10"/>
      <c r="B443" s="10"/>
      <c r="C443" s="16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</row>
    <row r="444" spans="1:39" ht="18" x14ac:dyDescent="0.25">
      <c r="A444" s="10"/>
      <c r="B444" s="10"/>
      <c r="C444" s="16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</row>
    <row r="445" spans="1:39" ht="18" x14ac:dyDescent="0.25">
      <c r="A445" s="10"/>
      <c r="B445" s="10"/>
      <c r="C445" s="16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</row>
    <row r="446" spans="1:39" ht="18" x14ac:dyDescent="0.25">
      <c r="A446" s="10"/>
      <c r="B446" s="10"/>
      <c r="C446" s="16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</row>
    <row r="447" spans="1:39" ht="18" x14ac:dyDescent="0.25">
      <c r="A447" s="10"/>
      <c r="B447" s="10"/>
      <c r="C447" s="16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</row>
    <row r="448" spans="1:39" ht="18" x14ac:dyDescent="0.25">
      <c r="A448" s="10"/>
      <c r="B448" s="10"/>
      <c r="C448" s="16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</row>
    <row r="449" spans="1:39" ht="18" x14ac:dyDescent="0.25">
      <c r="A449" s="10"/>
      <c r="B449" s="10"/>
      <c r="C449" s="16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</row>
    <row r="450" spans="1:39" ht="18" x14ac:dyDescent="0.25">
      <c r="A450" s="10"/>
      <c r="B450" s="10"/>
      <c r="C450" s="16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</row>
    <row r="451" spans="1:39" ht="18" x14ac:dyDescent="0.25">
      <c r="A451" s="10"/>
      <c r="B451" s="10"/>
      <c r="C451" s="16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</row>
    <row r="452" spans="1:39" ht="18" x14ac:dyDescent="0.25">
      <c r="A452" s="10"/>
      <c r="B452" s="10"/>
      <c r="C452" s="16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</row>
    <row r="453" spans="1:39" ht="18" x14ac:dyDescent="0.25">
      <c r="A453" s="10"/>
      <c r="B453" s="10"/>
      <c r="C453" s="16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</row>
    <row r="454" spans="1:39" ht="18" x14ac:dyDescent="0.25">
      <c r="A454" s="10"/>
      <c r="B454" s="10"/>
      <c r="C454" s="16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</row>
    <row r="455" spans="1:39" ht="18" x14ac:dyDescent="0.25">
      <c r="A455" s="10"/>
      <c r="B455" s="10"/>
      <c r="C455" s="16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</row>
    <row r="456" spans="1:39" ht="18" x14ac:dyDescent="0.25">
      <c r="A456" s="10"/>
      <c r="B456" s="10"/>
      <c r="C456" s="16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</row>
    <row r="457" spans="1:39" ht="18" x14ac:dyDescent="0.25">
      <c r="A457" s="10"/>
      <c r="B457" s="10"/>
      <c r="C457" s="16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</row>
    <row r="458" spans="1:39" ht="18" x14ac:dyDescent="0.25">
      <c r="A458" s="10"/>
      <c r="B458" s="10"/>
      <c r="C458" s="16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</row>
    <row r="459" spans="1:39" ht="18" x14ac:dyDescent="0.25">
      <c r="A459" s="10"/>
      <c r="B459" s="10"/>
      <c r="C459" s="16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</row>
    <row r="460" spans="1:39" ht="18" x14ac:dyDescent="0.25">
      <c r="A460" s="10"/>
      <c r="B460" s="10"/>
      <c r="C460" s="16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</row>
    <row r="461" spans="1:39" ht="18" x14ac:dyDescent="0.25">
      <c r="A461" s="10"/>
      <c r="B461" s="10"/>
      <c r="C461" s="16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</row>
    <row r="462" spans="1:39" ht="18" x14ac:dyDescent="0.25">
      <c r="A462" s="10"/>
      <c r="B462" s="10"/>
      <c r="C462" s="16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</row>
    <row r="463" spans="1:39" ht="18" x14ac:dyDescent="0.25">
      <c r="A463" s="10"/>
      <c r="B463" s="10"/>
      <c r="C463" s="16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</row>
    <row r="464" spans="1:39" ht="18" x14ac:dyDescent="0.25">
      <c r="A464" s="10"/>
      <c r="B464" s="10"/>
      <c r="C464" s="16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</row>
    <row r="465" spans="1:39" ht="18" x14ac:dyDescent="0.25">
      <c r="A465" s="10"/>
      <c r="B465" s="10"/>
      <c r="C465" s="16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</row>
    <row r="466" spans="1:39" ht="18" x14ac:dyDescent="0.25">
      <c r="A466" s="10"/>
      <c r="B466" s="10"/>
      <c r="C466" s="16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</row>
    <row r="467" spans="1:39" ht="18" x14ac:dyDescent="0.25">
      <c r="A467" s="10"/>
      <c r="B467" s="10"/>
      <c r="C467" s="16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</row>
    <row r="468" spans="1:39" ht="18" x14ac:dyDescent="0.25">
      <c r="A468" s="10"/>
      <c r="B468" s="10"/>
      <c r="C468" s="16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</row>
    <row r="469" spans="1:39" ht="18" x14ac:dyDescent="0.25">
      <c r="A469" s="10"/>
      <c r="B469" s="10"/>
      <c r="C469" s="16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</row>
    <row r="470" spans="1:39" ht="18" x14ac:dyDescent="0.25">
      <c r="A470" s="10"/>
      <c r="B470" s="10"/>
      <c r="C470" s="16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</row>
    <row r="471" spans="1:39" ht="18" x14ac:dyDescent="0.25">
      <c r="A471" s="10"/>
      <c r="B471" s="10"/>
      <c r="C471" s="16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</row>
    <row r="472" spans="1:39" ht="18" x14ac:dyDescent="0.25">
      <c r="A472" s="10"/>
      <c r="B472" s="10"/>
      <c r="C472" s="16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</row>
    <row r="473" spans="1:39" ht="18" x14ac:dyDescent="0.25">
      <c r="A473" s="10"/>
      <c r="B473" s="10"/>
      <c r="C473" s="16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</row>
    <row r="474" spans="1:39" ht="18" x14ac:dyDescent="0.25">
      <c r="A474" s="10"/>
      <c r="B474" s="10"/>
      <c r="C474" s="16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</row>
    <row r="475" spans="1:39" ht="18" x14ac:dyDescent="0.25">
      <c r="A475" s="10"/>
      <c r="B475" s="10"/>
      <c r="C475" s="16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</row>
    <row r="476" spans="1:39" ht="18" x14ac:dyDescent="0.25">
      <c r="A476" s="10"/>
      <c r="B476" s="10"/>
      <c r="C476" s="16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</row>
    <row r="477" spans="1:39" ht="18" x14ac:dyDescent="0.25">
      <c r="A477" s="10"/>
      <c r="B477" s="10"/>
      <c r="C477" s="16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</row>
    <row r="478" spans="1:39" ht="18" x14ac:dyDescent="0.25">
      <c r="A478" s="10"/>
      <c r="B478" s="10"/>
      <c r="C478" s="16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</row>
    <row r="479" spans="1:39" ht="18" x14ac:dyDescent="0.25">
      <c r="A479" s="10"/>
      <c r="B479" s="10"/>
      <c r="C479" s="16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</row>
    <row r="480" spans="1:39" ht="18" x14ac:dyDescent="0.25">
      <c r="A480" s="10"/>
      <c r="B480" s="10"/>
      <c r="C480" s="16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</row>
    <row r="481" spans="1:39" ht="18" x14ac:dyDescent="0.25">
      <c r="A481" s="10"/>
      <c r="B481" s="10"/>
      <c r="C481" s="16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</row>
    <row r="482" spans="1:39" ht="18" x14ac:dyDescent="0.25">
      <c r="A482" s="10"/>
      <c r="B482" s="10"/>
      <c r="C482" s="16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</row>
    <row r="483" spans="1:39" ht="18" x14ac:dyDescent="0.25">
      <c r="A483" s="10"/>
      <c r="B483" s="10"/>
      <c r="C483" s="16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</row>
    <row r="484" spans="1:39" ht="18" x14ac:dyDescent="0.25">
      <c r="A484" s="10"/>
      <c r="B484" s="10"/>
      <c r="C484" s="16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</row>
    <row r="485" spans="1:39" ht="18" x14ac:dyDescent="0.25">
      <c r="A485" s="10"/>
      <c r="B485" s="10"/>
      <c r="C485" s="16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</row>
    <row r="486" spans="1:39" ht="18" x14ac:dyDescent="0.25">
      <c r="A486" s="10"/>
      <c r="B486" s="10"/>
      <c r="C486" s="16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</row>
    <row r="487" spans="1:39" ht="18" x14ac:dyDescent="0.25">
      <c r="A487" s="10"/>
      <c r="B487" s="10"/>
      <c r="C487" s="16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</row>
    <row r="488" spans="1:39" ht="18" x14ac:dyDescent="0.25">
      <c r="A488" s="10"/>
      <c r="B488" s="10"/>
      <c r="C488" s="16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</row>
    <row r="489" spans="1:39" ht="18" x14ac:dyDescent="0.25">
      <c r="A489" s="10"/>
      <c r="B489" s="10"/>
      <c r="C489" s="16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</row>
    <row r="490" spans="1:39" ht="18" x14ac:dyDescent="0.25">
      <c r="A490" s="10"/>
      <c r="B490" s="10"/>
      <c r="C490" s="16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</row>
    <row r="491" spans="1:39" ht="18" x14ac:dyDescent="0.25">
      <c r="A491" s="10"/>
      <c r="B491" s="10"/>
      <c r="C491" s="16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</row>
    <row r="492" spans="1:39" ht="18" x14ac:dyDescent="0.25">
      <c r="A492" s="10"/>
      <c r="B492" s="10"/>
      <c r="C492" s="16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</row>
    <row r="493" spans="1:39" ht="18" x14ac:dyDescent="0.25">
      <c r="A493" s="10"/>
      <c r="B493" s="10"/>
      <c r="C493" s="16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</row>
    <row r="494" spans="1:39" ht="18" x14ac:dyDescent="0.25">
      <c r="A494" s="10"/>
      <c r="B494" s="10"/>
      <c r="C494" s="16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</row>
    <row r="495" spans="1:39" ht="18" x14ac:dyDescent="0.25">
      <c r="A495" s="10"/>
      <c r="B495" s="10"/>
      <c r="C495" s="16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</row>
    <row r="496" spans="1:39" ht="18" x14ac:dyDescent="0.25">
      <c r="A496" s="10"/>
      <c r="B496" s="10"/>
      <c r="C496" s="16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</row>
    <row r="497" spans="1:39" ht="18" x14ac:dyDescent="0.25">
      <c r="A497" s="10"/>
      <c r="B497" s="10"/>
      <c r="C497" s="16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</row>
    <row r="498" spans="1:39" ht="18" x14ac:dyDescent="0.25">
      <c r="A498" s="10"/>
      <c r="B498" s="10"/>
      <c r="C498" s="16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</row>
    <row r="499" spans="1:39" ht="18" x14ac:dyDescent="0.25">
      <c r="A499" s="10"/>
      <c r="B499" s="10"/>
      <c r="C499" s="16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</row>
    <row r="500" spans="1:39" ht="18" x14ac:dyDescent="0.25">
      <c r="A500" s="10"/>
      <c r="B500" s="10"/>
      <c r="C500" s="16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</row>
    <row r="501" spans="1:39" ht="18" x14ac:dyDescent="0.25">
      <c r="A501" s="10"/>
      <c r="B501" s="10"/>
      <c r="C501" s="16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</row>
    <row r="502" spans="1:39" ht="18" x14ac:dyDescent="0.25">
      <c r="A502" s="10"/>
      <c r="B502" s="10"/>
      <c r="C502" s="16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</row>
    <row r="503" spans="1:39" ht="18" x14ac:dyDescent="0.25">
      <c r="A503" s="10"/>
      <c r="B503" s="10"/>
      <c r="C503" s="16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</row>
    <row r="504" spans="1:39" ht="18" x14ac:dyDescent="0.25">
      <c r="A504" s="10"/>
      <c r="B504" s="10"/>
      <c r="C504" s="16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</row>
    <row r="505" spans="1:39" ht="18" x14ac:dyDescent="0.25">
      <c r="A505" s="10"/>
      <c r="B505" s="10"/>
      <c r="C505" s="16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</row>
    <row r="506" spans="1:39" ht="18" x14ac:dyDescent="0.25">
      <c r="A506" s="10"/>
      <c r="B506" s="10"/>
      <c r="C506" s="16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</row>
    <row r="507" spans="1:39" ht="18" x14ac:dyDescent="0.25">
      <c r="A507" s="10"/>
      <c r="B507" s="10"/>
      <c r="C507" s="16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</row>
    <row r="508" spans="1:39" ht="18" x14ac:dyDescent="0.25">
      <c r="A508" s="10"/>
      <c r="B508" s="10"/>
      <c r="C508" s="16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</row>
    <row r="509" spans="1:39" ht="18" x14ac:dyDescent="0.25">
      <c r="A509" s="10"/>
      <c r="B509" s="10"/>
      <c r="C509" s="16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</row>
    <row r="510" spans="1:39" ht="18" x14ac:dyDescent="0.25">
      <c r="A510" s="10"/>
      <c r="B510" s="10"/>
      <c r="C510" s="16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</row>
    <row r="511" spans="1:39" ht="18" x14ac:dyDescent="0.25">
      <c r="A511" s="10"/>
      <c r="B511" s="10"/>
      <c r="C511" s="16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</row>
    <row r="512" spans="1:39" ht="18" x14ac:dyDescent="0.25">
      <c r="A512" s="10"/>
      <c r="B512" s="10"/>
      <c r="C512" s="16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</row>
    <row r="513" spans="1:39" ht="18" x14ac:dyDescent="0.25">
      <c r="A513" s="10"/>
      <c r="B513" s="10"/>
      <c r="C513" s="16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</row>
    <row r="514" spans="1:39" ht="18" x14ac:dyDescent="0.25">
      <c r="A514" s="10"/>
      <c r="B514" s="10"/>
      <c r="C514" s="16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</row>
    <row r="515" spans="1:39" ht="18" x14ac:dyDescent="0.25">
      <c r="A515" s="10"/>
      <c r="B515" s="10"/>
      <c r="C515" s="16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</row>
    <row r="516" spans="1:39" ht="18" x14ac:dyDescent="0.25">
      <c r="A516" s="10"/>
      <c r="B516" s="10"/>
      <c r="C516" s="16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</row>
    <row r="517" spans="1:39" ht="18" x14ac:dyDescent="0.25">
      <c r="A517" s="10"/>
      <c r="B517" s="10"/>
      <c r="C517" s="16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</row>
    <row r="518" spans="1:39" ht="18" x14ac:dyDescent="0.25">
      <c r="A518" s="10"/>
      <c r="B518" s="10"/>
      <c r="C518" s="16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</row>
    <row r="519" spans="1:39" ht="18" x14ac:dyDescent="0.25">
      <c r="A519" s="10"/>
      <c r="B519" s="10"/>
      <c r="C519" s="16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</row>
    <row r="520" spans="1:39" ht="18" x14ac:dyDescent="0.25">
      <c r="A520" s="10"/>
      <c r="B520" s="10"/>
      <c r="C520" s="16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</row>
    <row r="521" spans="1:39" ht="18" x14ac:dyDescent="0.25">
      <c r="A521" s="10"/>
      <c r="B521" s="10"/>
      <c r="C521" s="16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</row>
    <row r="522" spans="1:39" ht="18" x14ac:dyDescent="0.25">
      <c r="A522" s="10"/>
      <c r="B522" s="10"/>
      <c r="C522" s="16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</row>
    <row r="523" spans="1:39" ht="18" x14ac:dyDescent="0.25">
      <c r="A523" s="10"/>
      <c r="B523" s="10"/>
      <c r="C523" s="16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</row>
    <row r="524" spans="1:39" ht="18" x14ac:dyDescent="0.25">
      <c r="A524" s="10"/>
      <c r="B524" s="10"/>
      <c r="C524" s="16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</row>
    <row r="525" spans="1:39" ht="18" x14ac:dyDescent="0.25">
      <c r="A525" s="10"/>
      <c r="B525" s="10"/>
      <c r="C525" s="16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</row>
    <row r="526" spans="1:39" ht="18" x14ac:dyDescent="0.25">
      <c r="A526" s="10"/>
      <c r="B526" s="10"/>
      <c r="C526" s="16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</row>
    <row r="527" spans="1:39" ht="18" x14ac:dyDescent="0.25">
      <c r="A527" s="10"/>
      <c r="B527" s="10"/>
      <c r="C527" s="16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</row>
    <row r="528" spans="1:39" ht="18" x14ac:dyDescent="0.25">
      <c r="A528" s="10"/>
      <c r="B528" s="10"/>
      <c r="C528" s="16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</row>
    <row r="529" spans="1:39" ht="18" x14ac:dyDescent="0.25">
      <c r="A529" s="10"/>
      <c r="B529" s="10"/>
      <c r="C529" s="16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</row>
    <row r="530" spans="1:39" ht="18" x14ac:dyDescent="0.25">
      <c r="A530" s="10"/>
      <c r="B530" s="10"/>
      <c r="C530" s="16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</row>
    <row r="531" spans="1:39" ht="18" x14ac:dyDescent="0.25">
      <c r="A531" s="10"/>
      <c r="B531" s="10"/>
      <c r="C531" s="16"/>
      <c r="D531" s="16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</row>
    <row r="532" spans="1:39" ht="18" x14ac:dyDescent="0.25">
      <c r="A532" s="10"/>
      <c r="B532" s="10"/>
      <c r="C532" s="16"/>
      <c r="D532" s="16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</row>
    <row r="533" spans="1:39" ht="18" x14ac:dyDescent="0.25">
      <c r="A533" s="10"/>
      <c r="B533" s="10"/>
      <c r="C533" s="16"/>
      <c r="D533" s="16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</row>
    <row r="534" spans="1:39" ht="18" x14ac:dyDescent="0.25">
      <c r="A534" s="10"/>
      <c r="B534" s="10"/>
      <c r="C534" s="16"/>
      <c r="D534" s="16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</row>
    <row r="535" spans="1:39" ht="18" x14ac:dyDescent="0.25">
      <c r="A535" s="10"/>
      <c r="B535" s="10"/>
      <c r="C535" s="16"/>
      <c r="D535" s="16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</row>
    <row r="536" spans="1:39" ht="18" x14ac:dyDescent="0.25">
      <c r="A536" s="10"/>
      <c r="B536" s="10"/>
      <c r="C536" s="16"/>
      <c r="D536" s="16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</row>
    <row r="537" spans="1:39" ht="18" x14ac:dyDescent="0.25">
      <c r="A537" s="10"/>
      <c r="B537" s="10"/>
      <c r="C537" s="16"/>
      <c r="D537" s="16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</row>
    <row r="538" spans="1:39" ht="18" x14ac:dyDescent="0.25">
      <c r="A538" s="10"/>
      <c r="B538" s="10"/>
      <c r="C538" s="16"/>
      <c r="D538" s="16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</row>
    <row r="539" spans="1:39" ht="18" x14ac:dyDescent="0.25">
      <c r="A539" s="10"/>
      <c r="B539" s="10"/>
      <c r="C539" s="16"/>
      <c r="D539" s="16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</row>
    <row r="540" spans="1:39" ht="18" x14ac:dyDescent="0.25">
      <c r="A540" s="10"/>
      <c r="B540" s="10"/>
      <c r="C540" s="16"/>
      <c r="D540" s="16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</row>
    <row r="541" spans="1:39" ht="18" x14ac:dyDescent="0.25">
      <c r="A541" s="10"/>
      <c r="B541" s="10"/>
      <c r="C541" s="16"/>
      <c r="D541" s="16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</row>
    <row r="542" spans="1:39" ht="18" x14ac:dyDescent="0.25">
      <c r="A542" s="10"/>
      <c r="B542" s="10"/>
      <c r="C542" s="16"/>
      <c r="D542" s="16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</row>
    <row r="543" spans="1:39" ht="18" x14ac:dyDescent="0.25">
      <c r="A543" s="10"/>
      <c r="B543" s="10"/>
      <c r="C543" s="16"/>
      <c r="D543" s="16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</row>
    <row r="544" spans="1:39" ht="18" x14ac:dyDescent="0.25">
      <c r="A544" s="10"/>
      <c r="B544" s="10"/>
      <c r="C544" s="16"/>
      <c r="D544" s="16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</row>
  </sheetData>
  <mergeCells count="12">
    <mergeCell ref="B53:G53"/>
    <mergeCell ref="I1:P1"/>
    <mergeCell ref="B8:E8"/>
    <mergeCell ref="G8:P8"/>
    <mergeCell ref="B50:E50"/>
    <mergeCell ref="B52:G52"/>
    <mergeCell ref="R8:X8"/>
    <mergeCell ref="C10:D10"/>
    <mergeCell ref="G32:G33"/>
    <mergeCell ref="D42:E42"/>
    <mergeCell ref="D43:E43"/>
    <mergeCell ref="B38:E38"/>
  </mergeCells>
  <pageMargins left="0.25" right="0.25" top="0.75" bottom="0.75" header="0.3" footer="0.3"/>
  <pageSetup scale="2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1F8E-9565-4A91-BC93-CB36F4BE5F46}">
  <sheetPr>
    <pageSetUpPr fitToPage="1"/>
  </sheetPr>
  <dimension ref="C2:H26"/>
  <sheetViews>
    <sheetView topLeftCell="A19" workbookViewId="0">
      <selection activeCell="D26" sqref="D26"/>
    </sheetView>
  </sheetViews>
  <sheetFormatPr baseColWidth="10" defaultColWidth="11.42578125" defaultRowHeight="15" x14ac:dyDescent="0.25"/>
  <cols>
    <col min="4" max="4" width="32.5703125" customWidth="1"/>
    <col min="5" max="5" width="32.42578125" customWidth="1"/>
    <col min="6" max="6" width="19.5703125" customWidth="1"/>
    <col min="7" max="7" width="11.5703125" bestFit="1" customWidth="1"/>
    <col min="8" max="8" width="17.28515625" customWidth="1"/>
  </cols>
  <sheetData>
    <row r="2" spans="3:8" ht="93.75" customHeight="1" x14ac:dyDescent="0.25"/>
    <row r="3" spans="3:8" x14ac:dyDescent="0.25">
      <c r="C3" s="161" t="s">
        <v>82</v>
      </c>
      <c r="D3" s="161"/>
      <c r="E3" s="161"/>
      <c r="F3" s="161"/>
      <c r="G3" s="161"/>
      <c r="H3" s="161"/>
    </row>
    <row r="5" spans="3:8" ht="36" x14ac:dyDescent="0.25">
      <c r="C5" s="120" t="s">
        <v>83</v>
      </c>
      <c r="D5" s="120" t="s">
        <v>84</v>
      </c>
      <c r="E5" s="124" t="s">
        <v>85</v>
      </c>
      <c r="F5" s="123" t="s">
        <v>86</v>
      </c>
      <c r="G5" s="123" t="s">
        <v>87</v>
      </c>
      <c r="H5" s="123" t="s">
        <v>88</v>
      </c>
    </row>
    <row r="6" spans="3:8" ht="18" x14ac:dyDescent="0.25">
      <c r="C6" s="121">
        <v>1</v>
      </c>
      <c r="D6" s="122" t="s">
        <v>89</v>
      </c>
      <c r="E6" s="125" t="s">
        <v>90</v>
      </c>
      <c r="F6" s="126">
        <v>2.5</v>
      </c>
      <c r="G6" s="126">
        <v>1.5</v>
      </c>
      <c r="H6" s="126">
        <v>56</v>
      </c>
    </row>
    <row r="7" spans="3:8" ht="18" x14ac:dyDescent="0.25">
      <c r="C7" s="121">
        <v>2</v>
      </c>
      <c r="D7" s="122" t="s">
        <v>91</v>
      </c>
      <c r="E7" s="125" t="s">
        <v>92</v>
      </c>
      <c r="F7" s="126">
        <v>2.5</v>
      </c>
      <c r="G7" s="126">
        <v>1.5</v>
      </c>
      <c r="H7" s="126">
        <v>56</v>
      </c>
    </row>
    <row r="8" spans="3:8" ht="18" x14ac:dyDescent="0.25">
      <c r="C8" s="121">
        <v>3</v>
      </c>
      <c r="D8" s="122" t="s">
        <v>93</v>
      </c>
      <c r="E8" s="125" t="s">
        <v>94</v>
      </c>
      <c r="F8" s="126">
        <v>2.5</v>
      </c>
      <c r="G8" s="126">
        <v>1.5</v>
      </c>
      <c r="H8" s="126">
        <v>56</v>
      </c>
    </row>
    <row r="9" spans="3:8" ht="18" x14ac:dyDescent="0.25">
      <c r="C9" s="121">
        <v>4</v>
      </c>
      <c r="D9" s="122" t="s">
        <v>95</v>
      </c>
      <c r="E9" s="125" t="s">
        <v>96</v>
      </c>
      <c r="F9" s="126">
        <v>2.5</v>
      </c>
      <c r="G9" s="126">
        <v>1.5</v>
      </c>
      <c r="H9" s="126">
        <v>56</v>
      </c>
    </row>
    <row r="10" spans="3:8" ht="18" x14ac:dyDescent="0.25">
      <c r="C10" s="121">
        <v>5</v>
      </c>
      <c r="D10" s="122" t="s">
        <v>97</v>
      </c>
      <c r="E10" s="125" t="s">
        <v>98</v>
      </c>
      <c r="F10" s="126">
        <v>2.5</v>
      </c>
      <c r="G10" s="126">
        <v>1.5</v>
      </c>
      <c r="H10" s="126">
        <v>56</v>
      </c>
    </row>
    <row r="11" spans="3:8" ht="18" x14ac:dyDescent="0.25">
      <c r="C11" s="121">
        <v>6</v>
      </c>
      <c r="D11" s="122" t="s">
        <v>99</v>
      </c>
      <c r="E11" s="125" t="s">
        <v>100</v>
      </c>
      <c r="F11" s="126">
        <v>2.5</v>
      </c>
      <c r="G11" s="126">
        <v>1.5</v>
      </c>
      <c r="H11" s="126">
        <v>56</v>
      </c>
    </row>
    <row r="12" spans="3:8" ht="18" x14ac:dyDescent="0.25">
      <c r="C12" s="121">
        <v>7</v>
      </c>
      <c r="D12" s="122" t="s">
        <v>101</v>
      </c>
      <c r="E12" s="125" t="s">
        <v>102</v>
      </c>
      <c r="F12" s="126">
        <v>2.5</v>
      </c>
      <c r="G12" s="126">
        <v>1.5</v>
      </c>
      <c r="H12" s="126">
        <v>56</v>
      </c>
    </row>
    <row r="13" spans="3:8" ht="18" x14ac:dyDescent="0.25">
      <c r="C13" s="121">
        <v>8</v>
      </c>
      <c r="D13" s="122" t="s">
        <v>103</v>
      </c>
      <c r="E13" s="125" t="s">
        <v>104</v>
      </c>
      <c r="F13" s="126">
        <v>2.5</v>
      </c>
      <c r="G13" s="126">
        <v>1.5</v>
      </c>
      <c r="H13" s="126">
        <v>56</v>
      </c>
    </row>
    <row r="14" spans="3:8" ht="18" x14ac:dyDescent="0.25">
      <c r="C14" s="121">
        <v>9</v>
      </c>
      <c r="D14" s="122" t="s">
        <v>105</v>
      </c>
      <c r="E14" s="125" t="s">
        <v>106</v>
      </c>
      <c r="F14" s="126">
        <v>2.5</v>
      </c>
      <c r="G14" s="126">
        <v>1.5</v>
      </c>
      <c r="H14" s="126">
        <v>56</v>
      </c>
    </row>
    <row r="15" spans="3:8" ht="18" x14ac:dyDescent="0.25">
      <c r="C15" s="121">
        <v>10</v>
      </c>
      <c r="D15" s="122" t="s">
        <v>107</v>
      </c>
      <c r="E15" s="125" t="s">
        <v>108</v>
      </c>
      <c r="F15" s="126">
        <v>2.5</v>
      </c>
      <c r="G15" s="126">
        <v>1.5</v>
      </c>
      <c r="H15" s="126">
        <v>56</v>
      </c>
    </row>
    <row r="16" spans="3:8" ht="18" x14ac:dyDescent="0.25">
      <c r="C16" s="121">
        <v>11</v>
      </c>
      <c r="D16" s="122" t="s">
        <v>109</v>
      </c>
      <c r="E16" s="125" t="s">
        <v>110</v>
      </c>
      <c r="F16" s="126">
        <v>2.5</v>
      </c>
      <c r="G16" s="126">
        <v>1.5</v>
      </c>
      <c r="H16" s="126">
        <v>56</v>
      </c>
    </row>
    <row r="17" spans="3:8" ht="18" x14ac:dyDescent="0.25">
      <c r="C17" s="121">
        <v>12</v>
      </c>
      <c r="D17" s="122" t="s">
        <v>111</v>
      </c>
      <c r="E17" s="125" t="s">
        <v>112</v>
      </c>
      <c r="F17" s="126">
        <v>2.5</v>
      </c>
      <c r="G17" s="126">
        <v>1.5</v>
      </c>
      <c r="H17" s="126">
        <v>56</v>
      </c>
    </row>
    <row r="18" spans="3:8" ht="18" x14ac:dyDescent="0.25">
      <c r="C18" s="121">
        <v>13</v>
      </c>
      <c r="D18" s="122" t="s">
        <v>113</v>
      </c>
      <c r="E18" s="125" t="s">
        <v>114</v>
      </c>
      <c r="F18" s="126">
        <v>2.5</v>
      </c>
      <c r="G18" s="126">
        <v>1.5</v>
      </c>
      <c r="H18" s="126">
        <v>56</v>
      </c>
    </row>
    <row r="19" spans="3:8" ht="18" x14ac:dyDescent="0.25">
      <c r="C19" s="121">
        <v>14</v>
      </c>
      <c r="D19" s="122" t="s">
        <v>115</v>
      </c>
      <c r="E19" s="125" t="s">
        <v>116</v>
      </c>
      <c r="F19" s="126">
        <v>2.5</v>
      </c>
      <c r="G19" s="126">
        <v>1.5</v>
      </c>
      <c r="H19" s="126">
        <v>56</v>
      </c>
    </row>
    <row r="20" spans="3:8" ht="18" x14ac:dyDescent="0.25">
      <c r="C20" s="121">
        <v>15</v>
      </c>
      <c r="D20" s="122" t="s">
        <v>117</v>
      </c>
      <c r="E20" s="125" t="s">
        <v>118</v>
      </c>
      <c r="F20" s="126">
        <v>2.5</v>
      </c>
      <c r="G20" s="126">
        <v>1.5</v>
      </c>
      <c r="H20" s="126">
        <v>56</v>
      </c>
    </row>
    <row r="21" spans="3:8" ht="18" x14ac:dyDescent="0.25">
      <c r="C21" s="121">
        <v>16</v>
      </c>
      <c r="D21" s="122" t="s">
        <v>119</v>
      </c>
      <c r="E21" s="125" t="s">
        <v>120</v>
      </c>
      <c r="F21" s="126">
        <v>2.5</v>
      </c>
      <c r="G21" s="126">
        <v>1.5</v>
      </c>
      <c r="H21" s="126">
        <v>56</v>
      </c>
    </row>
    <row r="22" spans="3:8" ht="18" x14ac:dyDescent="0.25">
      <c r="C22" s="121">
        <v>17</v>
      </c>
      <c r="D22" s="122" t="s">
        <v>121</v>
      </c>
      <c r="E22" s="125" t="s">
        <v>122</v>
      </c>
      <c r="F22" s="126">
        <v>2.5</v>
      </c>
      <c r="G22" s="126">
        <v>1.5</v>
      </c>
      <c r="H22" s="126">
        <v>56</v>
      </c>
    </row>
    <row r="23" spans="3:8" ht="18" x14ac:dyDescent="0.25">
      <c r="C23" s="121">
        <v>18</v>
      </c>
      <c r="D23" s="122" t="s">
        <v>123</v>
      </c>
      <c r="E23" s="125" t="s">
        <v>124</v>
      </c>
      <c r="F23" s="126">
        <v>2.5</v>
      </c>
      <c r="G23" s="126">
        <v>1.5</v>
      </c>
      <c r="H23" s="126">
        <v>56</v>
      </c>
    </row>
    <row r="24" spans="3:8" x14ac:dyDescent="0.25">
      <c r="F24" s="127">
        <f>SUM(F6:F23)</f>
        <v>45</v>
      </c>
      <c r="G24" s="127">
        <f>SUM(G6:G23)</f>
        <v>27</v>
      </c>
      <c r="H24" s="127">
        <f>SUM(H6:H23)</f>
        <v>1008</v>
      </c>
    </row>
    <row r="25" spans="3:8" x14ac:dyDescent="0.25">
      <c r="G25" s="129" t="s">
        <v>125</v>
      </c>
      <c r="H25" s="130">
        <f>SUM(F24:H24)</f>
        <v>1080</v>
      </c>
    </row>
    <row r="26" spans="3:8" x14ac:dyDescent="0.25">
      <c r="G26" s="128"/>
      <c r="H26" s="128"/>
    </row>
  </sheetData>
  <mergeCells count="1">
    <mergeCell ref="C3:H3"/>
  </mergeCells>
  <conditionalFormatting sqref="C5:E5">
    <cfRule type="containsText" dxfId="0" priority="1" operator="containsText" text="DNI">
      <formula>NOT(ISERROR(SEARCH("DNI",C5)))</formula>
    </cfRule>
  </conditionalFormatting>
  <pageMargins left="0.7" right="0.7" top="0.75" bottom="0.75" header="0.3" footer="0.3"/>
  <pageSetup scale="61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91B7DDEE54F24BAFD0D4310A572430" ma:contentTypeVersion="4" ma:contentTypeDescription="Crear nuevo documento." ma:contentTypeScope="" ma:versionID="5f73b80b94359ca0409f7160c0240152">
  <xsd:schema xmlns:xsd="http://www.w3.org/2001/XMLSchema" xmlns:xs="http://www.w3.org/2001/XMLSchema" xmlns:p="http://schemas.microsoft.com/office/2006/metadata/properties" xmlns:ns2="729f59c2-14ec-4f18-a935-65d6bd348037" targetNamespace="http://schemas.microsoft.com/office/2006/metadata/properties" ma:root="true" ma:fieldsID="f5f5d2d95162192a6dd09bc725414f55" ns2:_="">
    <xsd:import namespace="729f59c2-14ec-4f18-a935-65d6bd3480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f59c2-14ec-4f18-a935-65d6bd348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CB2444-ECD7-4144-BD3A-E960E92F7073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729f59c2-14ec-4f18-a935-65d6bd348037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C394B08-41B6-4A5D-B708-6FBC6CA208F2}"/>
</file>

<file path=customXml/itemProps3.xml><?xml version="1.0" encoding="utf-8"?>
<ds:datastoreItem xmlns:ds="http://schemas.openxmlformats.org/officeDocument/2006/customXml" ds:itemID="{F0385693-956A-4B89-BDC6-AC6704A97B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ec CATU</vt:lpstr>
      <vt:lpstr>ec ABTAO</vt:lpstr>
      <vt:lpstr>ec ICHMA</vt:lpstr>
      <vt:lpstr>ABRIL</vt:lpstr>
      <vt:lpstr>Hoja1</vt:lpstr>
      <vt:lpstr>ABRIL!Área_de_impresión</vt:lpstr>
      <vt:lpstr>'ec ABTAO'!Área_de_impresión</vt:lpstr>
      <vt:lpstr>'ec CATU'!Área_de_impresión</vt:lpstr>
      <vt:lpstr>'ec ICHMA'!Área_de_impresión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Carla Moscoso</dc:creator>
  <cp:keywords/>
  <dc:description/>
  <cp:lastModifiedBy>Carla Moscoso</cp:lastModifiedBy>
  <cp:revision/>
  <cp:lastPrinted>2026-04-09T16:02:20Z</cp:lastPrinted>
  <dcterms:created xsi:type="dcterms:W3CDTF">2020-04-13T22:08:44Z</dcterms:created>
  <dcterms:modified xsi:type="dcterms:W3CDTF">2026-04-09T16:14:35Z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0x0101008D91B7DDEE54F24BAFD0D4310A572430</vt:lpwstr>
  </property>
  <property fmtid="{D5CDD505-2E9C-101B-9397-08002B2CF9AE}" pid="3" name="Order">
    <vt:r8>1589600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